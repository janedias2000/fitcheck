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1 Financial Model" sheetId="1" state="visible" r:id="rId1"/>
    <sheet name="Pessimistic" sheetId="2" state="visible" r:id="rId2"/>
    <sheet name="Optimist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b val="1"/>
      <color rgb="00404040"/>
      <sz val="9"/>
    </font>
    <font>
      <name val="Calibri"/>
      <color rgb="00000000"/>
      <sz val="9"/>
    </font>
    <font>
      <name val="Calibri"/>
      <b val="1"/>
      <color rgb="007B0000"/>
      <sz val="9"/>
    </font>
    <font>
      <name val="Calibri"/>
      <i val="1"/>
      <color rgb="00606060"/>
      <sz val="9"/>
    </font>
    <font>
      <name val="Calibri"/>
      <color rgb="00404040"/>
      <sz val="9"/>
    </font>
    <font>
      <name val="Calibri"/>
      <b val="1"/>
      <color rgb="00FFFFFF"/>
      <sz val="11"/>
    </font>
    <font>
      <name val="Calibri"/>
      <i val="1"/>
      <color rgb="00505050"/>
      <sz val="8"/>
    </font>
    <font>
      <name val="Calibri"/>
      <b val="1"/>
      <sz val="9"/>
    </font>
    <font>
      <name val="Calibri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6"/>
      </patternFill>
    </fill>
    <fill>
      <patternFill patternType="solid">
        <fgColor rgb="001F6B6B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2D6A27"/>
      </patternFill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165" fontId="6" fillId="6" borderId="0" applyAlignment="1" pivotButton="0" quotePrefix="0" xfId="0">
      <alignment horizontal="right" vertical="center"/>
    </xf>
    <xf numFmtId="3" fontId="6" fillId="6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/>
    </xf>
    <xf numFmtId="3" fontId="11" fillId="6" borderId="0" applyAlignment="1" pivotButton="0" quotePrefix="0" xfId="0">
      <alignment horizontal="right" vertical="center"/>
    </xf>
    <xf numFmtId="166" fontId="0" fillId="8" borderId="0" applyAlignment="1" pivotButton="0" quotePrefix="0" xfId="0">
      <alignment horizontal="right" vertical="center"/>
    </xf>
    <xf numFmtId="166" fontId="0" fillId="9" borderId="0" applyAlignment="1" pivotButton="0" quotePrefix="0" xfId="0">
      <alignment horizontal="right" vertical="center"/>
    </xf>
    <xf numFmtId="0" fontId="12" fillId="7" borderId="0" applyAlignment="1" pivotButton="0" quotePrefix="0" xfId="0">
      <alignment horizontal="left" vertical="center"/>
    </xf>
    <xf numFmtId="166" fontId="12" fillId="8" borderId="0" applyAlignment="1" pivotButton="0" quotePrefix="0" xfId="0">
      <alignment horizontal="right" vertical="center"/>
    </xf>
    <xf numFmtId="166" fontId="0" fillId="10" borderId="0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/>
    </xf>
    <xf numFmtId="164" fontId="0" fillId="8" borderId="0" applyAlignment="1" pivotButton="0" quotePrefix="0" xfId="0">
      <alignment horizontal="right" vertical="center"/>
    </xf>
    <xf numFmtId="164" fontId="0" fillId="9" borderId="0" applyAlignment="1" pivotButton="0" quotePrefix="0" xfId="0">
      <alignment horizontal="right" vertical="center"/>
    </xf>
    <xf numFmtId="164" fontId="12" fillId="8" borderId="0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/>
    </xf>
    <xf numFmtId="164" fontId="3" fillId="12" borderId="0" applyAlignment="1" pivotButton="0" quotePrefix="0" xfId="0">
      <alignment horizontal="right" vertical="center"/>
    </xf>
    <xf numFmtId="165" fontId="0" fillId="10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164" fontId="12" fillId="9" borderId="0" applyAlignment="1" pivotButton="0" quotePrefix="0" xfId="0">
      <alignment horizontal="right" vertical="center"/>
    </xf>
    <xf numFmtId="164" fontId="3" fillId="2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4" fontId="0" fillId="10" borderId="0" applyAlignment="1" pivotButton="0" quotePrefix="0" xfId="0">
      <alignment horizontal="right" vertical="center"/>
    </xf>
    <xf numFmtId="164" fontId="12" fillId="1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O68"/>
  <sheetViews>
    <sheetView workbookViewId="0">
      <pane xSplit="1" ySplit="26" topLeftCell="B2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" customWidth="1" min="14" max="14"/>
    <col width="62" customWidth="1" min="15" max="15"/>
  </cols>
  <sheetData>
    <row r="1" ht="28" customHeight="1">
      <c r="A1" s="1" t="inlineStr">
        <is>
          <t>AI Styling App — Year 1 Financial Model (Base Scenario)</t>
        </is>
      </c>
    </row>
    <row r="2" ht="16" customHeight="1">
      <c r="A2" s="2" t="inlineStr">
        <is>
          <t>BUS 395: Venture Creation with AI  |  Jane Dias  |  Organic growth · 10% trial conversion · 6-month retention · $7/month hypothesis</t>
        </is>
      </c>
    </row>
    <row r="3" ht="8" customHeight="1"/>
    <row r="4" ht="18" customHeight="1">
      <c r="A4" s="3" t="inlineStr">
        <is>
          <t>ASSUMPTIONS  —  Change values in yellow cells to model different scenarios. All other cells are formula-driven.</t>
        </is>
      </c>
    </row>
    <row r="5" ht="15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Note — [GROUNDED]=from data · [ESTIMATE]=benchmark · [ASSUMPTION]=untested</t>
        </is>
      </c>
    </row>
    <row r="6" ht="15" customHeight="1">
      <c r="A6" s="5" t="inlineStr">
        <is>
          <t>Subscription price</t>
        </is>
      </c>
      <c r="B6" s="6" t="n">
        <v>7</v>
      </c>
      <c r="C6" s="7" t="inlineStr">
        <is>
          <t>$/month</t>
        </is>
      </c>
      <c r="D6" s="8" t="inlineStr">
        <is>
          <t>ASSUMPTION — unvalidated; competitive floor is $8–13/month; $7 may be too low</t>
        </is>
      </c>
    </row>
    <row r="7" ht="15" customHeight="1">
      <c r="A7" s="5" t="inlineStr">
        <is>
          <t>Stripe processing fee (%)</t>
        </is>
      </c>
      <c r="B7" s="9" t="n">
        <v>0.029</v>
      </c>
      <c r="C7" s="7" t="inlineStr">
        <is>
          <t>%</t>
        </is>
      </c>
      <c r="D7" s="8" t="inlineStr">
        <is>
          <t>GROUNDED — Stripe published pricing (2.9%)</t>
        </is>
      </c>
    </row>
    <row r="8" ht="15" customHeight="1">
      <c r="A8" s="5" t="inlineStr">
        <is>
          <t>Stripe processing fee (fixed)</t>
        </is>
      </c>
      <c r="B8" s="6" t="n">
        <v>0.3</v>
      </c>
      <c r="C8" s="7" t="inlineStr">
        <is>
          <t>$/transaction</t>
        </is>
      </c>
      <c r="D8" s="8" t="inlineStr">
        <is>
          <t>GROUNDED — Stripe published pricing ($0.30 per charge)</t>
        </is>
      </c>
    </row>
    <row r="9" ht="15" customHeight="1">
      <c r="A9" s="5" t="inlineStr">
        <is>
          <t>Trial-to-paid conversion rate</t>
        </is>
      </c>
      <c r="B9" s="9" t="n">
        <v>0.1</v>
      </c>
      <c r="C9" s="7" t="inlineStr">
        <is>
          <t>%</t>
        </is>
      </c>
      <c r="D9" s="8" t="inlineStr">
        <is>
          <t>ASSUMPTION — SaaS median 5–15%; must validate at first paywall moment</t>
        </is>
      </c>
    </row>
    <row r="10" ht="15" customHeight="1">
      <c r="A10" s="5" t="inlineStr">
        <is>
          <t>Monthly subscriber churn rate</t>
        </is>
      </c>
      <c r="B10" s="9" t="n">
        <v>0.167</v>
      </c>
      <c r="C10" s="7" t="inlineStr">
        <is>
          <t>%</t>
        </is>
      </c>
      <c r="D10" s="8" t="inlineStr">
        <is>
          <t>ASSUMPTION — implies ~6-month avg retention; fashion apps churn high per BMC</t>
        </is>
      </c>
    </row>
    <row r="11" ht="15" customHeight="1">
      <c r="A11" s="5" t="inlineStr">
        <is>
          <t>LLM inference cost per photo</t>
        </is>
      </c>
      <c r="B11" s="6" t="n">
        <v>0.03</v>
      </c>
      <c r="C11" s="7" t="inlineStr">
        <is>
          <t>$/photo</t>
        </is>
      </c>
      <c r="D11" s="8" t="inlineStr">
        <is>
          <t>ESTIMATE — based on Claude Sonnet token pricing (~$0.027 computed from token rates)</t>
        </is>
      </c>
    </row>
    <row r="12" ht="15" customHeight="1">
      <c r="A12" s="5" t="inlineStr">
        <is>
          <t>Photos per paying user per month</t>
        </is>
      </c>
      <c r="B12" s="10" t="n">
        <v>43</v>
      </c>
      <c r="C12" s="7" t="inlineStr">
        <is>
          <t>photos</t>
        </is>
      </c>
      <c r="D12" s="8" t="inlineStr">
        <is>
          <t>ASSUMPTION — 2 shopping trips (15 photos each) + outfit checks + events; ask in next interviews</t>
        </is>
      </c>
    </row>
    <row r="13" ht="15" customHeight="1">
      <c r="A13" s="5" t="inlineStr">
        <is>
          <t>Photos per free trial session</t>
        </is>
      </c>
      <c r="B13" s="10" t="n">
        <v>5</v>
      </c>
      <c r="C13" s="7" t="inlineStr">
        <is>
          <t>photos</t>
        </is>
      </c>
      <c r="D13" s="8" t="inlineStr">
        <is>
          <t>ASSUMPTION — ask 5 users to count photos on next shopping trip</t>
        </is>
      </c>
    </row>
    <row r="14" ht="15" customHeight="1">
      <c r="A14" s="5" t="inlineStr">
        <is>
          <t>Sessions in free trial period</t>
        </is>
      </c>
      <c r="B14" s="10" t="n">
        <v>8</v>
      </c>
      <c r="C14" s="7" t="inlineStr">
        <is>
          <t>sessions</t>
        </is>
      </c>
      <c r="D14" s="8" t="inlineStr">
        <is>
          <t>Product design decision</t>
        </is>
      </c>
    </row>
    <row r="15" ht="15" customHeight="1">
      <c r="A15" s="5" t="inlineStr">
        <is>
          <t>Variable infrastructure per active user</t>
        </is>
      </c>
      <c r="B15" s="6" t="n">
        <v>0.25</v>
      </c>
      <c r="C15" s="7" t="inlineStr">
        <is>
          <t>$/user/month</t>
        </is>
      </c>
      <c r="D15" s="8" t="inlineStr">
        <is>
          <t>ESTIMATE — marginal AWS cost per user above fixed base</t>
        </is>
      </c>
    </row>
    <row r="16" ht="15" customHeight="1">
      <c r="A16" s="5" t="inlineStr">
        <is>
          <t>Refund &amp; chargeback rate</t>
        </is>
      </c>
      <c r="B16" s="9" t="n">
        <v>0.02</v>
      </c>
      <c r="C16" s="7" t="inlineStr">
        <is>
          <t>% of gross</t>
        </is>
      </c>
      <c r="D16" s="8" t="inlineStr">
        <is>
          <t>ASSUMPTION — typical range 1–3%; Stripe charges $15/chargeback regardless of amount</t>
        </is>
      </c>
    </row>
    <row r="17" ht="15" customHeight="1">
      <c r="A17" s="5" t="inlineStr">
        <is>
          <t>Your hourly rate</t>
        </is>
      </c>
      <c r="B17" s="6" t="n">
        <v>15</v>
      </c>
      <c r="C17" s="7" t="inlineStr">
        <is>
          <t>$/hour</t>
        </is>
      </c>
      <c r="D17" s="8" t="inlineStr">
        <is>
          <t>Per course instruction</t>
        </is>
      </c>
    </row>
    <row r="18" ht="15" customHeight="1">
      <c r="A18" s="5" t="inlineStr">
        <is>
          <t>Hours worked per week (all activities)</t>
        </is>
      </c>
      <c r="B18" s="10" t="n">
        <v>9</v>
      </c>
      <c r="C18" s="7" t="inlineStr">
        <is>
          <t>hrs/week</t>
        </is>
      </c>
      <c r="D18" s="8" t="inlineStr">
        <is>
          <t>ASSUMPTION — support 2h + content 3h + maintenance 3h + admin 1h; track in beta</t>
        </is>
      </c>
    </row>
    <row r="19" ht="15" customHeight="1">
      <c r="A19" s="5" t="inlineStr">
        <is>
          <t>Insurance — cyber + general + E&amp;O</t>
        </is>
      </c>
      <c r="B19" s="6" t="n">
        <v>165</v>
      </c>
      <c r="C19" s="7" t="inlineStr">
        <is>
          <t>$/month</t>
        </is>
      </c>
      <c r="D19" s="8" t="inlineStr">
        <is>
          <t>ESTIMATE — midpoint $130–200; cyber required for app storing user photos</t>
        </is>
      </c>
    </row>
    <row r="20" ht="15" customHeight="1">
      <c r="A20" s="5" t="inlineStr">
        <is>
          <t>Software tools + LLC annual fees</t>
        </is>
      </c>
      <c r="B20" s="6" t="n">
        <v>33</v>
      </c>
      <c r="C20" s="7" t="inlineStr">
        <is>
          <t>$/month</t>
        </is>
      </c>
      <c r="D20" s="8" t="inlineStr">
        <is>
          <t>ESTIMATE — domain $1.25 + Figma $15 + LLC annual filing ~$15/mo</t>
        </is>
      </c>
    </row>
    <row r="21" ht="15" customHeight="1">
      <c r="A21" s="5" t="inlineStr">
        <is>
          <t>Base infrastructure (server + DB)</t>
        </is>
      </c>
      <c r="B21" s="6" t="n">
        <v>70</v>
      </c>
      <c r="C21" s="7" t="inlineStr">
        <is>
          <t>$/month</t>
        </is>
      </c>
      <c r="D21" s="8" t="inlineStr">
        <is>
          <t>ESTIMATE — AWS t3.medium + RDS t3.micro; fixed until ~1,000 users</t>
        </is>
      </c>
    </row>
    <row r="22" ht="15" customHeight="1">
      <c r="A22" s="5" t="inlineStr">
        <is>
          <t>Legal / compliance (amortized)</t>
        </is>
      </c>
      <c r="B22" s="6" t="n">
        <v>75</v>
      </c>
      <c r="C22" s="7" t="inlineStr">
        <is>
          <t>$/month</t>
        </is>
      </c>
      <c r="D22" s="8" t="inlineStr">
        <is>
          <t>ESTIMATE — TOS + privacy policy legal review amortized over year 1</t>
        </is>
      </c>
    </row>
    <row r="23" ht="8" customHeight="1"/>
    <row r="24" ht="8" customHeight="1"/>
    <row r="25" ht="22" customHeight="1">
      <c r="A25" s="11" t="inlineStr">
        <is>
          <t>BASE SCENARIO — MONTHLY PROJECTION  (Year 1)</t>
        </is>
      </c>
    </row>
    <row r="26" ht="18" customHeight="1">
      <c r="A26" s="12" t="inlineStr">
        <is>
          <t>Line Item</t>
        </is>
      </c>
      <c r="B26" s="13" t="inlineStr">
        <is>
          <t>Month 1</t>
        </is>
      </c>
      <c r="C26" s="13" t="inlineStr">
        <is>
          <t>Month 2</t>
        </is>
      </c>
      <c r="D26" s="13" t="inlineStr">
        <is>
          <t>Month 3</t>
        </is>
      </c>
      <c r="E26" s="13" t="inlineStr">
        <is>
          <t>Month 4</t>
        </is>
      </c>
      <c r="F26" s="13" t="inlineStr">
        <is>
          <t>Month 5</t>
        </is>
      </c>
      <c r="G26" s="13" t="inlineStr">
        <is>
          <t>Month 6</t>
        </is>
      </c>
      <c r="H26" s="13" t="inlineStr">
        <is>
          <t>Month 7</t>
        </is>
      </c>
      <c r="I26" s="13" t="inlineStr">
        <is>
          <t>Month 8</t>
        </is>
      </c>
      <c r="J26" s="13" t="inlineStr">
        <is>
          <t>Month 9</t>
        </is>
      </c>
      <c r="K26" s="13" t="inlineStr">
        <is>
          <t>Month 10</t>
        </is>
      </c>
      <c r="L26" s="13" t="inlineStr">
        <is>
          <t>Month 11</t>
        </is>
      </c>
      <c r="M26" s="13" t="inlineStr">
        <is>
          <t>Month 12</t>
        </is>
      </c>
      <c r="N26" s="14" t="inlineStr">
        <is>
          <t>Year Total</t>
        </is>
      </c>
      <c r="O26" s="12" t="inlineStr">
        <is>
          <t>Comments</t>
        </is>
      </c>
    </row>
    <row r="27" ht="16" customHeight="1">
      <c r="A27" s="3" t="inlineStr">
        <is>
          <t xml:space="preserve">  CUSTOMER METRICS</t>
        </is>
      </c>
      <c r="O27" s="15" t="inlineStr"/>
    </row>
    <row r="28" ht="15" customHeight="1">
      <c r="A28" s="16" t="inlineStr">
        <is>
          <t xml:space="preserve">    New trial signups (inputs)</t>
        </is>
      </c>
      <c r="B28" s="10" t="n">
        <v>30</v>
      </c>
      <c r="C28" s="10" t="n">
        <v>40</v>
      </c>
      <c r="D28" s="10" t="n">
        <v>55</v>
      </c>
      <c r="E28" s="10" t="n">
        <v>70</v>
      </c>
      <c r="F28" s="10" t="n">
        <v>90</v>
      </c>
      <c r="G28" s="10" t="n">
        <v>110</v>
      </c>
      <c r="H28" s="10" t="n">
        <v>130</v>
      </c>
      <c r="I28" s="10" t="n">
        <v>150</v>
      </c>
      <c r="J28" s="10" t="n">
        <v>160</v>
      </c>
      <c r="K28" s="10" t="n">
        <v>170</v>
      </c>
      <c r="L28" s="10" t="n">
        <v>180</v>
      </c>
      <c r="M28" s="10" t="n">
        <v>190</v>
      </c>
      <c r="N28" s="17">
        <f>SUM(B28:M28)</f>
        <v/>
      </c>
      <c r="O28" s="15" t="inlineStr">
        <is>
          <t>INPUTS (yellow) — change these to model faster or slower growth</t>
        </is>
      </c>
    </row>
    <row r="29" ht="15" customHeight="1">
      <c r="A29" s="16" t="inlineStr">
        <is>
          <t xml:space="preserve">    New paying subscribers (converts)</t>
        </is>
      </c>
      <c r="B29" s="18" t="n">
        <v>0</v>
      </c>
      <c r="C29" s="18">
        <f>B28*$B$9</f>
        <v/>
      </c>
      <c r="D29" s="18">
        <f>C28*$B$9</f>
        <v/>
      </c>
      <c r="E29" s="18">
        <f>D28*$B$9</f>
        <v/>
      </c>
      <c r="F29" s="18">
        <f>E28*$B$9</f>
        <v/>
      </c>
      <c r="G29" s="18">
        <f>F28*$B$9</f>
        <v/>
      </c>
      <c r="H29" s="18">
        <f>G28*$B$9</f>
        <v/>
      </c>
      <c r="I29" s="18">
        <f>H28*$B$9</f>
        <v/>
      </c>
      <c r="J29" s="18">
        <f>I28*$B$9</f>
        <v/>
      </c>
      <c r="K29" s="18">
        <f>J28*$B$9</f>
        <v/>
      </c>
      <c r="L29" s="18">
        <f>K28*$B$9</f>
        <v/>
      </c>
      <c r="M29" s="18">
        <f>L28*$B$9</f>
        <v/>
      </c>
      <c r="N29" s="18">
        <f>SUM(B29:M29)</f>
        <v/>
      </c>
      <c r="O29" s="15" t="inlineStr">
        <is>
          <t>Prior month's trial signups × conversion rate; 1-month lag (users need time to complete 8 sessions)</t>
        </is>
      </c>
    </row>
    <row r="30" ht="15" customHeight="1">
      <c r="A30" s="16" t="inlineStr">
        <is>
          <t xml:space="preserve">    Subscribers lost to churn</t>
        </is>
      </c>
      <c r="B30" s="19" t="n">
        <v>0</v>
      </c>
      <c r="C30" s="19">
        <f>B31*$B$10</f>
        <v/>
      </c>
      <c r="D30" s="19">
        <f>C31*$B$10</f>
        <v/>
      </c>
      <c r="E30" s="19">
        <f>D31*$B$10</f>
        <v/>
      </c>
      <c r="F30" s="19">
        <f>E31*$B$10</f>
        <v/>
      </c>
      <c r="G30" s="19">
        <f>F31*$B$10</f>
        <v/>
      </c>
      <c r="H30" s="19">
        <f>G31*$B$10</f>
        <v/>
      </c>
      <c r="I30" s="19">
        <f>H31*$B$10</f>
        <v/>
      </c>
      <c r="J30" s="19">
        <f>I31*$B$10</f>
        <v/>
      </c>
      <c r="K30" s="19">
        <f>J31*$B$10</f>
        <v/>
      </c>
      <c r="L30" s="19">
        <f>K31*$B$10</f>
        <v/>
      </c>
      <c r="M30" s="19">
        <f>L31*$B$10</f>
        <v/>
      </c>
      <c r="N30" s="19">
        <f>SUM(B30:M30)</f>
        <v/>
      </c>
      <c r="O30" s="15" t="inlineStr">
        <is>
          <t>Prior month's paying subscribers × 16.7% monthly churn = ~1 in 6 subscribers leaves each month</t>
        </is>
      </c>
    </row>
    <row r="31" ht="15" customHeight="1">
      <c r="A31" s="20" t="inlineStr">
        <is>
          <t>Total paying subscribers (end of month)</t>
        </is>
      </c>
      <c r="B31" s="21">
        <f>MAX(0,0+B29-B30)</f>
        <v/>
      </c>
      <c r="C31" s="21">
        <f>MAX(0,B31+C29-C30)</f>
        <v/>
      </c>
      <c r="D31" s="21">
        <f>MAX(0,C31+D29-D30)</f>
        <v/>
      </c>
      <c r="E31" s="21">
        <f>MAX(0,D31+E29-E30)</f>
        <v/>
      </c>
      <c r="F31" s="21">
        <f>MAX(0,E31+F29-F30)</f>
        <v/>
      </c>
      <c r="G31" s="21">
        <f>MAX(0,F31+G29-G30)</f>
        <v/>
      </c>
      <c r="H31" s="21">
        <f>MAX(0,G31+H29-H30)</f>
        <v/>
      </c>
      <c r="I31" s="21">
        <f>MAX(0,H31+I29-I30)</f>
        <v/>
      </c>
      <c r="J31" s="21">
        <f>MAX(0,I31+J29-J30)</f>
        <v/>
      </c>
      <c r="K31" s="21">
        <f>MAX(0,J31+K29-K30)</f>
        <v/>
      </c>
      <c r="L31" s="21">
        <f>MAX(0,K31+L29-L30)</f>
        <v/>
      </c>
      <c r="M31" s="21">
        <f>MAX(0,L31+M29-M30)</f>
        <v/>
      </c>
      <c r="N31" s="21">
        <f>M31</f>
        <v/>
      </c>
      <c r="O31" s="15" t="inlineStr">
        <is>
          <t>Paying subs (end of month) = prior subs + new converts − churned; capped at zero</t>
        </is>
      </c>
    </row>
    <row r="32" ht="15" customHeight="1">
      <c r="A32" s="16" t="inlineStr">
        <is>
          <t xml:space="preserve">    Active users (trial + paid)</t>
        </is>
      </c>
      <c r="B32" s="22">
        <f>B28+B31</f>
        <v/>
      </c>
      <c r="C32" s="22">
        <f>C28+C31</f>
        <v/>
      </c>
      <c r="D32" s="22">
        <f>D28+D31</f>
        <v/>
      </c>
      <c r="E32" s="22">
        <f>E28+E31</f>
        <v/>
      </c>
      <c r="F32" s="22">
        <f>F28+F31</f>
        <v/>
      </c>
      <c r="G32" s="22">
        <f>G28+G31</f>
        <v/>
      </c>
      <c r="H32" s="22">
        <f>H28+H31</f>
        <v/>
      </c>
      <c r="I32" s="22">
        <f>I28+I31</f>
        <v/>
      </c>
      <c r="J32" s="22">
        <f>J28+J31</f>
        <v/>
      </c>
      <c r="K32" s="22">
        <f>K28+K31</f>
        <v/>
      </c>
      <c r="L32" s="22">
        <f>L28+L31</f>
        <v/>
      </c>
      <c r="M32" s="22">
        <f>M28+M31</f>
        <v/>
      </c>
      <c r="N32" s="22">
        <f>SUM(B32:M32)</f>
        <v/>
      </c>
      <c r="O32" s="15" t="inlineStr">
        <is>
          <t>All users consuming LLM inference: paying subscribers + new trial signups entering this month</t>
        </is>
      </c>
    </row>
    <row r="33" ht="5" customHeight="1"/>
    <row r="34" ht="16" customHeight="1">
      <c r="A34" s="23" t="inlineStr">
        <is>
          <t xml:space="preserve">  REVENUE</t>
        </is>
      </c>
      <c r="O34" s="15" t="inlineStr"/>
    </row>
    <row r="35" ht="15" customHeight="1">
      <c r="A35" s="16" t="inlineStr">
        <is>
          <t xml:space="preserve">    Gross subscription revenue</t>
        </is>
      </c>
      <c r="B35" s="24">
        <f>B31*$B$6</f>
        <v/>
      </c>
      <c r="C35" s="24">
        <f>C31*$B$6</f>
        <v/>
      </c>
      <c r="D35" s="24">
        <f>D31*$B$6</f>
        <v/>
      </c>
      <c r="E35" s="24">
        <f>E31*$B$6</f>
        <v/>
      </c>
      <c r="F35" s="24">
        <f>F31*$B$6</f>
        <v/>
      </c>
      <c r="G35" s="24">
        <f>G31*$B$6</f>
        <v/>
      </c>
      <c r="H35" s="24">
        <f>H31*$B$6</f>
        <v/>
      </c>
      <c r="I35" s="24">
        <f>I31*$B$6</f>
        <v/>
      </c>
      <c r="J35" s="24">
        <f>J31*$B$6</f>
        <v/>
      </c>
      <c r="K35" s="24">
        <f>K31*$B$6</f>
        <v/>
      </c>
      <c r="L35" s="24">
        <f>L31*$B$6</f>
        <v/>
      </c>
      <c r="M35" s="24">
        <f>M31*$B$6</f>
        <v/>
      </c>
      <c r="N35" s="24">
        <f>SUM(B35:M35)</f>
        <v/>
      </c>
      <c r="O35" s="15" t="inlineStr">
        <is>
          <t>Paying subscribers × $7/month — the unvalidated price point; model at $10 to see how math improves</t>
        </is>
      </c>
    </row>
    <row r="36" ht="15" customHeight="1">
      <c r="A36" s="16" t="inlineStr">
        <is>
          <t xml:space="preserve">      (less) Stripe processing fees</t>
        </is>
      </c>
      <c r="B36" s="25">
        <f>-(B35*$B$7+B31*$B$8)</f>
        <v/>
      </c>
      <c r="C36" s="25">
        <f>-(C35*$B$7+C31*$B$8)</f>
        <v/>
      </c>
      <c r="D36" s="25">
        <f>-(D35*$B$7+D31*$B$8)</f>
        <v/>
      </c>
      <c r="E36" s="25">
        <f>-(E35*$B$7+E31*$B$8)</f>
        <v/>
      </c>
      <c r="F36" s="25">
        <f>-(F35*$B$7+F31*$B$8)</f>
        <v/>
      </c>
      <c r="G36" s="25">
        <f>-(G35*$B$7+G31*$B$8)</f>
        <v/>
      </c>
      <c r="H36" s="25">
        <f>-(H35*$B$7+H31*$B$8)</f>
        <v/>
      </c>
      <c r="I36" s="25">
        <f>-(I35*$B$7+I31*$B$8)</f>
        <v/>
      </c>
      <c r="J36" s="25">
        <f>-(J35*$B$7+J31*$B$8)</f>
        <v/>
      </c>
      <c r="K36" s="25">
        <f>-(K35*$B$7+K31*$B$8)</f>
        <v/>
      </c>
      <c r="L36" s="25">
        <f>-(L35*$B$7+L31*$B$8)</f>
        <v/>
      </c>
      <c r="M36" s="25">
        <f>-(M35*$B$7+M31*$B$8)</f>
        <v/>
      </c>
      <c r="N36" s="25">
        <f>SUM(B36:M36)</f>
        <v/>
      </c>
      <c r="O36" s="15" t="inlineStr">
        <is>
          <t>Stripe: 2.9% of charge + $0.30 per transaction; shown as negative (cash leaving)</t>
        </is>
      </c>
    </row>
    <row r="37" ht="15" customHeight="1">
      <c r="A37" s="20" t="inlineStr">
        <is>
          <t>Net subscription revenue</t>
        </is>
      </c>
      <c r="B37" s="26">
        <f>B35+B36</f>
        <v/>
      </c>
      <c r="C37" s="26">
        <f>C35+C36</f>
        <v/>
      </c>
      <c r="D37" s="26">
        <f>D35+D36</f>
        <v/>
      </c>
      <c r="E37" s="26">
        <f>E35+E36</f>
        <v/>
      </c>
      <c r="F37" s="26">
        <f>F35+F36</f>
        <v/>
      </c>
      <c r="G37" s="26">
        <f>G35+G36</f>
        <v/>
      </c>
      <c r="H37" s="26">
        <f>H35+H36</f>
        <v/>
      </c>
      <c r="I37" s="26">
        <f>I35+I36</f>
        <v/>
      </c>
      <c r="J37" s="26">
        <f>J35+J36</f>
        <v/>
      </c>
      <c r="K37" s="26">
        <f>K35+K36</f>
        <v/>
      </c>
      <c r="L37" s="26">
        <f>L35+L36</f>
        <v/>
      </c>
      <c r="M37" s="26">
        <f>M35+M36</f>
        <v/>
      </c>
      <c r="N37" s="26">
        <f>SUM(B37:M37)</f>
        <v/>
      </c>
      <c r="O37" s="15" t="inlineStr">
        <is>
          <t>What arrives in your bank account after Stripe takes its cut</t>
        </is>
      </c>
    </row>
    <row r="38" ht="5" customHeight="1"/>
    <row r="39" ht="16" customHeight="1">
      <c r="A39" s="27" t="inlineStr">
        <is>
          <t xml:space="preserve">  VARIABLE COSTS  (scale with user count)</t>
        </is>
      </c>
      <c r="O39" s="15" t="inlineStr"/>
    </row>
    <row r="40" ht="15" customHeight="1">
      <c r="A40" s="16" t="inlineStr">
        <is>
          <t xml:space="preserve">    LLM inference — paying users</t>
        </is>
      </c>
      <c r="B40" s="25">
        <f>B31*$B$12*$B$11</f>
        <v/>
      </c>
      <c r="C40" s="25">
        <f>C31*$B$12*$B$11</f>
        <v/>
      </c>
      <c r="D40" s="25">
        <f>D31*$B$12*$B$11</f>
        <v/>
      </c>
      <c r="E40" s="25">
        <f>E31*$B$12*$B$11</f>
        <v/>
      </c>
      <c r="F40" s="25">
        <f>F31*$B$12*$B$11</f>
        <v/>
      </c>
      <c r="G40" s="25">
        <f>G31*$B$12*$B$11</f>
        <v/>
      </c>
      <c r="H40" s="25">
        <f>H31*$B$12*$B$11</f>
        <v/>
      </c>
      <c r="I40" s="25">
        <f>I31*$B$12*$B$11</f>
        <v/>
      </c>
      <c r="J40" s="25">
        <f>J31*$B$12*$B$11</f>
        <v/>
      </c>
      <c r="K40" s="25">
        <f>K31*$B$12*$B$11</f>
        <v/>
      </c>
      <c r="L40" s="25">
        <f>L31*$B$12*$B$11</f>
        <v/>
      </c>
      <c r="M40" s="25">
        <f>M31*$B$12*$B$11</f>
        <v/>
      </c>
      <c r="N40" s="25">
        <f>SUM(B40:M40)</f>
        <v/>
      </c>
      <c r="O40" s="15" t="inlineStr">
        <is>
          <t>Paying users × 43 photos/month × $0.03/photo — core product cost, scales with usage</t>
        </is>
      </c>
    </row>
    <row r="41" ht="15" customHeight="1">
      <c r="A41" s="16" t="inlineStr">
        <is>
          <t xml:space="preserve">    LLM inference — free trial users</t>
        </is>
      </c>
      <c r="B41" s="25">
        <f>B28*$B$14*$B$13*$B$11</f>
        <v/>
      </c>
      <c r="C41" s="25">
        <f>C28*$B$14*$B$13*$B$11</f>
        <v/>
      </c>
      <c r="D41" s="25">
        <f>D28*$B$14*$B$13*$B$11</f>
        <v/>
      </c>
      <c r="E41" s="25">
        <f>E28*$B$14*$B$13*$B$11</f>
        <v/>
      </c>
      <c r="F41" s="25">
        <f>F28*$B$14*$B$13*$B$11</f>
        <v/>
      </c>
      <c r="G41" s="25">
        <f>G28*$B$14*$B$13*$B$11</f>
        <v/>
      </c>
      <c r="H41" s="25">
        <f>H28*$B$14*$B$13*$B$11</f>
        <v/>
      </c>
      <c r="I41" s="25">
        <f>I28*$B$14*$B$13*$B$11</f>
        <v/>
      </c>
      <c r="J41" s="25">
        <f>J28*$B$14*$B$13*$B$11</f>
        <v/>
      </c>
      <c r="K41" s="25">
        <f>K28*$B$14*$B$13*$B$11</f>
        <v/>
      </c>
      <c r="L41" s="25">
        <f>L28*$B$14*$B$13*$B$11</f>
        <v/>
      </c>
      <c r="M41" s="25">
        <f>M28*$B$14*$B$13*$B$11</f>
        <v/>
      </c>
      <c r="N41" s="25">
        <f>SUM(B41:M41)</f>
        <v/>
      </c>
      <c r="O41" s="15" t="inlineStr">
        <is>
          <t>Trial users × 8 sessions × 5 photos × $0.03 — trial users cost money even if they never convert</t>
        </is>
      </c>
    </row>
    <row r="42" ht="15" customHeight="1">
      <c r="A42" s="16" t="inlineStr">
        <is>
          <t xml:space="preserve">    Variable infrastructure (per active user)</t>
        </is>
      </c>
      <c r="B42" s="25">
        <f>B32*$B$15</f>
        <v/>
      </c>
      <c r="C42" s="25">
        <f>C32*$B$15</f>
        <v/>
      </c>
      <c r="D42" s="25">
        <f>D32*$B$15</f>
        <v/>
      </c>
      <c r="E42" s="25">
        <f>E32*$B$15</f>
        <v/>
      </c>
      <c r="F42" s="25">
        <f>F32*$B$15</f>
        <v/>
      </c>
      <c r="G42" s="25">
        <f>G32*$B$15</f>
        <v/>
      </c>
      <c r="H42" s="25">
        <f>H32*$B$15</f>
        <v/>
      </c>
      <c r="I42" s="25">
        <f>I32*$B$15</f>
        <v/>
      </c>
      <c r="J42" s="25">
        <f>J32*$B$15</f>
        <v/>
      </c>
      <c r="K42" s="25">
        <f>K32*$B$15</f>
        <v/>
      </c>
      <c r="L42" s="25">
        <f>L32*$B$15</f>
        <v/>
      </c>
      <c r="M42" s="25">
        <f>M32*$B$15</f>
        <v/>
      </c>
      <c r="N42" s="25">
        <f>SUM(B42:M42)</f>
        <v/>
      </c>
      <c r="O42" s="15" t="inlineStr">
        <is>
          <t>All active users (trial + paid) × $0.25 — marginal AWS bandwidth/compute per user</t>
        </is>
      </c>
    </row>
    <row r="43" ht="15" customHeight="1">
      <c r="A43" s="16" t="inlineStr">
        <is>
          <t xml:space="preserve">    Refunds &amp; chargebacks</t>
        </is>
      </c>
      <c r="B43" s="25">
        <f>B35*$B$16</f>
        <v/>
      </c>
      <c r="C43" s="25">
        <f>C35*$B$16</f>
        <v/>
      </c>
      <c r="D43" s="25">
        <f>D35*$B$16</f>
        <v/>
      </c>
      <c r="E43" s="25">
        <f>E35*$B$16</f>
        <v/>
      </c>
      <c r="F43" s="25">
        <f>F35*$B$16</f>
        <v/>
      </c>
      <c r="G43" s="25">
        <f>G35*$B$16</f>
        <v/>
      </c>
      <c r="H43" s="25">
        <f>H35*$B$16</f>
        <v/>
      </c>
      <c r="I43" s="25">
        <f>I35*$B$16</f>
        <v/>
      </c>
      <c r="J43" s="25">
        <f>J35*$B$16</f>
        <v/>
      </c>
      <c r="K43" s="25">
        <f>K35*$B$16</f>
        <v/>
      </c>
      <c r="L43" s="25">
        <f>L35*$B$16</f>
        <v/>
      </c>
      <c r="M43" s="25">
        <f>M35*$B$16</f>
        <v/>
      </c>
      <c r="N43" s="25">
        <f>SUM(B43:M43)</f>
        <v/>
      </c>
      <c r="O43" s="15" t="inlineStr">
        <is>
          <t>2% of gross revenue — Stripe keeps transaction fees on refunds; chargebacks cost $15 each regardless</t>
        </is>
      </c>
    </row>
    <row r="44" ht="15" customHeight="1">
      <c r="A44" s="16" t="inlineStr">
        <is>
          <t xml:space="preserve">    Stripe Tax fee (SaaS sales tax collection 0.5%)</t>
        </is>
      </c>
      <c r="B44" s="25">
        <f>B35*0.005</f>
        <v/>
      </c>
      <c r="C44" s="25">
        <f>C35*0.005</f>
        <v/>
      </c>
      <c r="D44" s="25">
        <f>D35*0.005</f>
        <v/>
      </c>
      <c r="E44" s="25">
        <f>E35*0.005</f>
        <v/>
      </c>
      <c r="F44" s="25">
        <f>F35*0.005</f>
        <v/>
      </c>
      <c r="G44" s="25">
        <f>G35*0.005</f>
        <v/>
      </c>
      <c r="H44" s="25">
        <f>H35*0.005</f>
        <v/>
      </c>
      <c r="I44" s="25">
        <f>I35*0.005</f>
        <v/>
      </c>
      <c r="J44" s="25">
        <f>J35*0.005</f>
        <v/>
      </c>
      <c r="K44" s="25">
        <f>K35*0.005</f>
        <v/>
      </c>
      <c r="L44" s="25">
        <f>L35*0.005</f>
        <v/>
      </c>
      <c r="M44" s="25">
        <f>M35*0.005</f>
        <v/>
      </c>
      <c r="N44" s="25">
        <f>SUM(B44:M44)</f>
        <v/>
      </c>
      <c r="O44" s="15" t="inlineStr">
        <is>
          <t>Stripe Tax service fee (0.5%) to collect and remit SaaS sales tax; legally required in 30+ US states</t>
        </is>
      </c>
    </row>
    <row r="45" ht="15" customHeight="1">
      <c r="A45" s="27" t="inlineStr">
        <is>
          <t>TOTAL VARIABLE COSTS</t>
        </is>
      </c>
      <c r="B45" s="28">
        <f>SUM(B40:B44)</f>
        <v/>
      </c>
      <c r="C45" s="28">
        <f>SUM(C40:C44)</f>
        <v/>
      </c>
      <c r="D45" s="28">
        <f>SUM(D40:D44)</f>
        <v/>
      </c>
      <c r="E45" s="28">
        <f>SUM(E40:E44)</f>
        <v/>
      </c>
      <c r="F45" s="28">
        <f>SUM(F40:F44)</f>
        <v/>
      </c>
      <c r="G45" s="28">
        <f>SUM(G40:G44)</f>
        <v/>
      </c>
      <c r="H45" s="28">
        <f>SUM(H40:H44)</f>
        <v/>
      </c>
      <c r="I45" s="28">
        <f>SUM(I40:I44)</f>
        <v/>
      </c>
      <c r="J45" s="28">
        <f>SUM(J40:J44)</f>
        <v/>
      </c>
      <c r="K45" s="28">
        <f>SUM(K40:K44)</f>
        <v/>
      </c>
      <c r="L45" s="28">
        <f>SUM(L40:L44)</f>
        <v/>
      </c>
      <c r="M45" s="28">
        <f>SUM(M40:M44)</f>
        <v/>
      </c>
      <c r="N45" s="28">
        <f>SUM(B45:M45)</f>
        <v/>
      </c>
      <c r="O45" s="15" t="inlineStr">
        <is>
          <t>Total costs that scale with your user base — LLM costs dominate</t>
        </is>
      </c>
    </row>
    <row r="46" ht="5" customHeight="1"/>
    <row r="47" ht="16" customHeight="1">
      <c r="A47" s="23" t="inlineStr">
        <is>
          <t xml:space="preserve">  GROSS PROFIT</t>
        </is>
      </c>
      <c r="O47" s="15" t="inlineStr"/>
    </row>
    <row r="48" ht="15" customHeight="1">
      <c r="A48" s="20" t="inlineStr">
        <is>
          <t>Gross profit</t>
        </is>
      </c>
      <c r="B48" s="26">
        <f>B37-B45</f>
        <v/>
      </c>
      <c r="C48" s="26">
        <f>C37-C45</f>
        <v/>
      </c>
      <c r="D48" s="26">
        <f>D37-D45</f>
        <v/>
      </c>
      <c r="E48" s="26">
        <f>E37-E45</f>
        <v/>
      </c>
      <c r="F48" s="26">
        <f>F37-F45</f>
        <v/>
      </c>
      <c r="G48" s="26">
        <f>G37-G45</f>
        <v/>
      </c>
      <c r="H48" s="26">
        <f>H37-H45</f>
        <v/>
      </c>
      <c r="I48" s="26">
        <f>I37-I45</f>
        <v/>
      </c>
      <c r="J48" s="26">
        <f>J37-J45</f>
        <v/>
      </c>
      <c r="K48" s="26">
        <f>K37-K45</f>
        <v/>
      </c>
      <c r="L48" s="26">
        <f>L37-L45</f>
        <v/>
      </c>
      <c r="M48" s="26">
        <f>M37-M45</f>
        <v/>
      </c>
      <c r="N48" s="26">
        <f>SUM(B48:M48)</f>
        <v/>
      </c>
      <c r="O48" s="15" t="inlineStr">
        <is>
          <t>Net revenue minus variable costs — what remains to cover fixed overhead; negative until scale</t>
        </is>
      </c>
    </row>
    <row r="49" ht="15" customHeight="1">
      <c r="A49" s="16" t="inlineStr">
        <is>
          <t xml:space="preserve">    Gross margin %</t>
        </is>
      </c>
      <c r="B49" s="29">
        <f>IF(B37&lt;&gt;0,B48/B37,0)</f>
        <v/>
      </c>
      <c r="C49" s="29">
        <f>IF(C37&lt;&gt;0,C48/C37,0)</f>
        <v/>
      </c>
      <c r="D49" s="29">
        <f>IF(D37&lt;&gt;0,D48/D37,0)</f>
        <v/>
      </c>
      <c r="E49" s="29">
        <f>IF(E37&lt;&gt;0,E48/E37,0)</f>
        <v/>
      </c>
      <c r="F49" s="29">
        <f>IF(F37&lt;&gt;0,F48/F37,0)</f>
        <v/>
      </c>
      <c r="G49" s="29">
        <f>IF(G37&lt;&gt;0,G48/G37,0)</f>
        <v/>
      </c>
      <c r="H49" s="29">
        <f>IF(H37&lt;&gt;0,H48/H37,0)</f>
        <v/>
      </c>
      <c r="I49" s="29">
        <f>IF(I37&lt;&gt;0,I48/I37,0)</f>
        <v/>
      </c>
      <c r="J49" s="29">
        <f>IF(J37&lt;&gt;0,J48/J37,0)</f>
        <v/>
      </c>
      <c r="K49" s="29">
        <f>IF(K37&lt;&gt;0,K48/K37,0)</f>
        <v/>
      </c>
      <c r="L49" s="29">
        <f>IF(L37&lt;&gt;0,L48/L37,0)</f>
        <v/>
      </c>
      <c r="M49" s="29">
        <f>IF(M37&lt;&gt;0,M48/M37,0)</f>
        <v/>
      </c>
      <c r="N49" s="29">
        <f>SUM(B49:M49)</f>
        <v/>
      </c>
      <c r="O49" s="15" t="inlineStr">
        <is>
          <t>Gross margin % = gross profit ÷ net revenue; should reach 50%+ at sustainable scale</t>
        </is>
      </c>
    </row>
    <row r="50" ht="5" customHeight="1"/>
    <row r="51" ht="16" customHeight="1">
      <c r="A51" s="27" t="inlineStr">
        <is>
          <t xml:space="preserve">  FIXED COSTS  (same every month regardless of user count)</t>
        </is>
      </c>
      <c r="O51" s="15" t="inlineStr"/>
    </row>
    <row r="52" ht="15" customHeight="1">
      <c r="A52" s="16" t="inlineStr">
        <is>
          <t xml:space="preserve">    Your time — Jane's labor</t>
        </is>
      </c>
      <c r="B52" s="25">
        <f>$B$17*$B$18*(52/12)</f>
        <v/>
      </c>
      <c r="C52" s="25">
        <f>$B$17*$B$18*(52/12)</f>
        <v/>
      </c>
      <c r="D52" s="25">
        <f>$B$17*$B$18*(52/12)</f>
        <v/>
      </c>
      <c r="E52" s="25">
        <f>$B$17*$B$18*(52/12)</f>
        <v/>
      </c>
      <c r="F52" s="25">
        <f>$B$17*$B$18*(52/12)</f>
        <v/>
      </c>
      <c r="G52" s="25">
        <f>$B$17*$B$18*(52/12)</f>
        <v/>
      </c>
      <c r="H52" s="25">
        <f>$B$17*$B$18*(52/12)</f>
        <v/>
      </c>
      <c r="I52" s="25">
        <f>$B$17*$B$18*(52/12)</f>
        <v/>
      </c>
      <c r="J52" s="25">
        <f>$B$17*$B$18*(52/12)</f>
        <v/>
      </c>
      <c r="K52" s="25">
        <f>$B$17*$B$18*(52/12)</f>
        <v/>
      </c>
      <c r="L52" s="25">
        <f>$B$17*$B$18*(52/12)</f>
        <v/>
      </c>
      <c r="M52" s="25">
        <f>$B$17*$B$18*(52/12)</f>
        <v/>
      </c>
      <c r="N52" s="25">
        <f>SUM(B52:M52)</f>
        <v/>
      </c>
      <c r="O52" s="15" t="inlineStr">
        <is>
          <t>9 hrs/week × 4.33 wks/month × $15/hr ≈ $585/month — your single largest cost; improves per-user as scale grows</t>
        </is>
      </c>
    </row>
    <row r="53" ht="15" customHeight="1">
      <c r="A53" s="16" t="inlineStr">
        <is>
          <t xml:space="preserve">    Base infrastructure (server + database)</t>
        </is>
      </c>
      <c r="B53" s="25">
        <f>$B$21</f>
        <v/>
      </c>
      <c r="C53" s="25">
        <f>$B$21</f>
        <v/>
      </c>
      <c r="D53" s="25">
        <f>$B$21</f>
        <v/>
      </c>
      <c r="E53" s="25">
        <f>$B$21</f>
        <v/>
      </c>
      <c r="F53" s="25">
        <f>$B$21</f>
        <v/>
      </c>
      <c r="G53" s="25">
        <f>$B$21</f>
        <v/>
      </c>
      <c r="H53" s="25">
        <f>$B$21</f>
        <v/>
      </c>
      <c r="I53" s="25">
        <f>$B$21</f>
        <v/>
      </c>
      <c r="J53" s="25">
        <f>$B$21</f>
        <v/>
      </c>
      <c r="K53" s="25">
        <f>$B$21</f>
        <v/>
      </c>
      <c r="L53" s="25">
        <f>$B$21</f>
        <v/>
      </c>
      <c r="M53" s="25">
        <f>$B$21</f>
        <v/>
      </c>
      <c r="N53" s="25">
        <f>SUM(B53:M53)</f>
        <v/>
      </c>
      <c r="O53" s="15" t="inlineStr">
        <is>
          <t>AWS server + database — largely fixed until ~1,000 users; $70/month regardless of user count</t>
        </is>
      </c>
    </row>
    <row r="54" ht="15" customHeight="1">
      <c r="A54" s="16" t="inlineStr">
        <is>
          <t xml:space="preserve">    Legal / compliance (amortized)</t>
        </is>
      </c>
      <c r="B54" s="25">
        <f>$B$22</f>
        <v/>
      </c>
      <c r="C54" s="25">
        <f>$B$22</f>
        <v/>
      </c>
      <c r="D54" s="25">
        <f>$B$22</f>
        <v/>
      </c>
      <c r="E54" s="25">
        <f>$B$22</f>
        <v/>
      </c>
      <c r="F54" s="25">
        <f>$B$22</f>
        <v/>
      </c>
      <c r="G54" s="25">
        <f>$B$22</f>
        <v/>
      </c>
      <c r="H54" s="25">
        <f>$B$22</f>
        <v/>
      </c>
      <c r="I54" s="25">
        <f>$B$22</f>
        <v/>
      </c>
      <c r="J54" s="25">
        <f>$B$22</f>
        <v/>
      </c>
      <c r="K54" s="25">
        <f>$B$22</f>
        <v/>
      </c>
      <c r="L54" s="25">
        <f>$B$22</f>
        <v/>
      </c>
      <c r="M54" s="25">
        <f>$B$22</f>
        <v/>
      </c>
      <c r="N54" s="25">
        <f>SUM(B54:M54)</f>
        <v/>
      </c>
      <c r="O54" s="15" t="inlineStr">
        <is>
          <t>Privacy policy + TOS legal review amortized across year 1; GDPR/CCPA compliance setup</t>
        </is>
      </c>
    </row>
    <row r="55" ht="15" customHeight="1">
      <c r="A55" s="16" t="inlineStr">
        <is>
          <t xml:space="preserve">    Insurance — cyber + general + E&amp;O</t>
        </is>
      </c>
      <c r="B55" s="25">
        <f>$B$19</f>
        <v/>
      </c>
      <c r="C55" s="25">
        <f>$B$19</f>
        <v/>
      </c>
      <c r="D55" s="25">
        <f>$B$19</f>
        <v/>
      </c>
      <c r="E55" s="25">
        <f>$B$19</f>
        <v/>
      </c>
      <c r="F55" s="25">
        <f>$B$19</f>
        <v/>
      </c>
      <c r="G55" s="25">
        <f>$B$19</f>
        <v/>
      </c>
      <c r="H55" s="25">
        <f>$B$19</f>
        <v/>
      </c>
      <c r="I55" s="25">
        <f>$B$19</f>
        <v/>
      </c>
      <c r="J55" s="25">
        <f>$B$19</f>
        <v/>
      </c>
      <c r="K55" s="25">
        <f>$B$19</f>
        <v/>
      </c>
      <c r="L55" s="25">
        <f>$B$19</f>
        <v/>
      </c>
      <c r="M55" s="25">
        <f>$B$19</f>
        <v/>
      </c>
      <c r="N55" s="25">
        <f>SUM(B55:M55)</f>
        <v/>
      </c>
      <c r="O55" s="15" t="inlineStr">
        <is>
          <t>Cyber liability (photo data), general liability, professional liability (E&amp;O for advice product) — required</t>
        </is>
      </c>
    </row>
    <row r="56" ht="15" customHeight="1">
      <c r="A56" s="16" t="inlineStr">
        <is>
          <t xml:space="preserve">    Software tools + LLC fees</t>
        </is>
      </c>
      <c r="B56" s="25">
        <f>$B$20</f>
        <v/>
      </c>
      <c r="C56" s="25">
        <f>$B$20</f>
        <v/>
      </c>
      <c r="D56" s="25">
        <f>$B$20</f>
        <v/>
      </c>
      <c r="E56" s="25">
        <f>$B$20</f>
        <v/>
      </c>
      <c r="F56" s="25">
        <f>$B$20</f>
        <v/>
      </c>
      <c r="G56" s="25">
        <f>$B$20</f>
        <v/>
      </c>
      <c r="H56" s="25">
        <f>$B$20</f>
        <v/>
      </c>
      <c r="I56" s="25">
        <f>$B$20</f>
        <v/>
      </c>
      <c r="J56" s="25">
        <f>$B$20</f>
        <v/>
      </c>
      <c r="K56" s="25">
        <f>$B$20</f>
        <v/>
      </c>
      <c r="L56" s="25">
        <f>$B$20</f>
        <v/>
      </c>
      <c r="M56" s="25">
        <f>$B$20</f>
        <v/>
      </c>
      <c r="N56" s="25">
        <f>SUM(B56:M56)</f>
        <v/>
      </c>
      <c r="O56" s="15" t="inlineStr">
        <is>
          <t>Domain name, Figma design tool, LLC annual state filing fees — previously missing from model</t>
        </is>
      </c>
    </row>
    <row r="57" ht="15" customHeight="1">
      <c r="A57" s="27" t="inlineStr">
        <is>
          <t>TOTAL FIXED COSTS</t>
        </is>
      </c>
      <c r="B57" s="28">
        <f>SUM(B52:B56)</f>
        <v/>
      </c>
      <c r="C57" s="28">
        <f>SUM(C52:C56)</f>
        <v/>
      </c>
      <c r="D57" s="28">
        <f>SUM(D52:D56)</f>
        <v/>
      </c>
      <c r="E57" s="28">
        <f>SUM(E52:E56)</f>
        <v/>
      </c>
      <c r="F57" s="28">
        <f>SUM(F52:F56)</f>
        <v/>
      </c>
      <c r="G57" s="28">
        <f>SUM(G52:G56)</f>
        <v/>
      </c>
      <c r="H57" s="28">
        <f>SUM(H52:H56)</f>
        <v/>
      </c>
      <c r="I57" s="28">
        <f>SUM(I52:I56)</f>
        <v/>
      </c>
      <c r="J57" s="28">
        <f>SUM(J52:J56)</f>
        <v/>
      </c>
      <c r="K57" s="28">
        <f>SUM(K52:K56)</f>
        <v/>
      </c>
      <c r="L57" s="28">
        <f>SUM(L52:L56)</f>
        <v/>
      </c>
      <c r="M57" s="28">
        <f>SUM(M52:M56)</f>
        <v/>
      </c>
      <c r="N57" s="28">
        <f>SUM(B57:M57)</f>
        <v/>
      </c>
      <c r="O57" s="15" t="inlineStr">
        <is>
          <t>Monthly overhead that exists regardless of whether you have 1 or 1,000 users</t>
        </is>
      </c>
    </row>
    <row r="58" ht="5" customHeight="1"/>
    <row r="59" ht="16" customHeight="1">
      <c r="A59" s="30" t="inlineStr">
        <is>
          <t xml:space="preserve">  OPERATING RESULT</t>
        </is>
      </c>
      <c r="O59" s="15" t="inlineStr"/>
    </row>
    <row r="60" ht="15" customHeight="1">
      <c r="A60" s="20" t="inlineStr">
        <is>
          <t>Total operating costs</t>
        </is>
      </c>
      <c r="B60" s="31">
        <f>B45+B57</f>
        <v/>
      </c>
      <c r="C60" s="31">
        <f>C45+C57</f>
        <v/>
      </c>
      <c r="D60" s="31">
        <f>D45+D57</f>
        <v/>
      </c>
      <c r="E60" s="31">
        <f>E45+E57</f>
        <v/>
      </c>
      <c r="F60" s="31">
        <f>F45+F57</f>
        <v/>
      </c>
      <c r="G60" s="31">
        <f>G45+G57</f>
        <v/>
      </c>
      <c r="H60" s="31">
        <f>H45+H57</f>
        <v/>
      </c>
      <c r="I60" s="31">
        <f>I45+I57</f>
        <v/>
      </c>
      <c r="J60" s="31">
        <f>J45+J57</f>
        <v/>
      </c>
      <c r="K60" s="31">
        <f>K45+K57</f>
        <v/>
      </c>
      <c r="L60" s="31">
        <f>L45+L57</f>
        <v/>
      </c>
      <c r="M60" s="31">
        <f>M45+M57</f>
        <v/>
      </c>
      <c r="N60" s="31">
        <f>SUM(B60:M60)</f>
        <v/>
      </c>
      <c r="O60" s="15" t="inlineStr">
        <is>
          <t>Total cash out the door each month: variable (scales with users) + fixed (always there)</t>
        </is>
      </c>
    </row>
    <row r="61" ht="15" customHeight="1">
      <c r="A61" s="30" t="inlineStr">
        <is>
          <t>OPERATING INCOME (LOSS)</t>
        </is>
      </c>
      <c r="B61" s="32">
        <f>B37-B60</f>
        <v/>
      </c>
      <c r="C61" s="32">
        <f>C37-C60</f>
        <v/>
      </c>
      <c r="D61" s="32">
        <f>D37-D60</f>
        <v/>
      </c>
      <c r="E61" s="32">
        <f>E37-E60</f>
        <v/>
      </c>
      <c r="F61" s="32">
        <f>F37-F60</f>
        <v/>
      </c>
      <c r="G61" s="32">
        <f>G37-G60</f>
        <v/>
      </c>
      <c r="H61" s="32">
        <f>H37-H60</f>
        <v/>
      </c>
      <c r="I61" s="32">
        <f>I37-I60</f>
        <v/>
      </c>
      <c r="J61" s="32">
        <f>J37-J60</f>
        <v/>
      </c>
      <c r="K61" s="32">
        <f>K37-K60</f>
        <v/>
      </c>
      <c r="L61" s="32">
        <f>L37-L60</f>
        <v/>
      </c>
      <c r="M61" s="32">
        <f>M37-M60</f>
        <v/>
      </c>
      <c r="N61" s="32">
        <f>SUM(B61:M61)</f>
        <v/>
      </c>
      <c r="O61" s="15" t="inlineStr">
        <is>
          <t>Net revenue − total costs; negative = burning cash this month; watch the trend, not just the number</t>
        </is>
      </c>
    </row>
    <row r="62" ht="15" customHeight="1">
      <c r="A62" s="20" t="inlineStr">
        <is>
          <t>Cumulative cash position</t>
        </is>
      </c>
      <c r="B62" s="33">
        <f>B61</f>
        <v/>
      </c>
      <c r="C62" s="33">
        <f>B62+C61</f>
        <v/>
      </c>
      <c r="D62" s="33">
        <f>C62+D61</f>
        <v/>
      </c>
      <c r="E62" s="33">
        <f>D62+E61</f>
        <v/>
      </c>
      <c r="F62" s="33">
        <f>E62+F61</f>
        <v/>
      </c>
      <c r="G62" s="33">
        <f>F62+G61</f>
        <v/>
      </c>
      <c r="H62" s="33">
        <f>G62+H61</f>
        <v/>
      </c>
      <c r="I62" s="33">
        <f>H62+I61</f>
        <v/>
      </c>
      <c r="J62" s="33">
        <f>I62+J61</f>
        <v/>
      </c>
      <c r="K62" s="33">
        <f>J62+K61</f>
        <v/>
      </c>
      <c r="L62" s="33">
        <f>K62+L61</f>
        <v/>
      </c>
      <c r="M62" s="33">
        <f>L62+M61</f>
        <v/>
      </c>
      <c r="N62" s="33">
        <f>M62</f>
        <v/>
      </c>
      <c r="O62" s="15" t="inlineStr">
        <is>
          <t>Running total of cash position — shows how much funding you need to reach break-even</t>
        </is>
      </c>
    </row>
    <row r="63" ht="5" customHeight="1"/>
    <row r="64" ht="16" customHeight="1">
      <c r="A64" s="3" t="inlineStr">
        <is>
          <t xml:space="preserve">  UNIT ECONOMICS  (per paying customer per month)</t>
        </is>
      </c>
      <c r="O64" s="15" t="inlineStr"/>
    </row>
    <row r="65" ht="15" customHeight="1">
      <c r="A65" s="16" t="inlineStr">
        <is>
          <t xml:space="preserve">    Revenue per paying customer</t>
        </is>
      </c>
      <c r="B65" s="24">
        <f>IF(B31&gt;0,B35/B31,0)</f>
        <v/>
      </c>
      <c r="C65" s="24">
        <f>IF(C31&gt;0,C35/C31,0)</f>
        <v/>
      </c>
      <c r="D65" s="24">
        <f>IF(D31&gt;0,D35/D31,0)</f>
        <v/>
      </c>
      <c r="E65" s="24">
        <f>IF(E31&gt;0,E35/E31,0)</f>
        <v/>
      </c>
      <c r="F65" s="24">
        <f>IF(F31&gt;0,F35/F31,0)</f>
        <v/>
      </c>
      <c r="G65" s="24">
        <f>IF(G31&gt;0,G35/G31,0)</f>
        <v/>
      </c>
      <c r="H65" s="24">
        <f>IF(H31&gt;0,H35/H31,0)</f>
        <v/>
      </c>
      <c r="I65" s="24">
        <f>IF(I31&gt;0,I35/I31,0)</f>
        <v/>
      </c>
      <c r="J65" s="24">
        <f>IF(J31&gt;0,J35/J31,0)</f>
        <v/>
      </c>
      <c r="K65" s="24">
        <f>IF(K31&gt;0,K35/K31,0)</f>
        <v/>
      </c>
      <c r="L65" s="24">
        <f>IF(L31&gt;0,L35/L31,0)</f>
        <v/>
      </c>
      <c r="M65" s="24">
        <f>IF(M31&gt;0,M35/M31,0)</f>
        <v/>
      </c>
      <c r="N65" s="24">
        <f>SUM(B65:M65)</f>
        <v/>
      </c>
      <c r="O65" s="15">
        <f> price; shown here so you can compare revenue vs. cost on same row</f>
        <v/>
      </c>
    </row>
    <row r="66" ht="15" customHeight="1">
      <c r="A66" s="16" t="inlineStr">
        <is>
          <t xml:space="preserve">    Variable cost per paying customer</t>
        </is>
      </c>
      <c r="B66" s="25">
        <f>IF(B31&gt;0,B45/B31,0)</f>
        <v/>
      </c>
      <c r="C66" s="25">
        <f>IF(C31&gt;0,C45/C31,0)</f>
        <v/>
      </c>
      <c r="D66" s="25">
        <f>IF(D31&gt;0,D45/D31,0)</f>
        <v/>
      </c>
      <c r="E66" s="25">
        <f>IF(E31&gt;0,E45/E31,0)</f>
        <v/>
      </c>
      <c r="F66" s="25">
        <f>IF(F31&gt;0,F45/F31,0)</f>
        <v/>
      </c>
      <c r="G66" s="25">
        <f>IF(G31&gt;0,G45/G31,0)</f>
        <v/>
      </c>
      <c r="H66" s="25">
        <f>IF(H31&gt;0,H45/H31,0)</f>
        <v/>
      </c>
      <c r="I66" s="25">
        <f>IF(I31&gt;0,I45/I31,0)</f>
        <v/>
      </c>
      <c r="J66" s="25">
        <f>IF(J31&gt;0,J45/J31,0)</f>
        <v/>
      </c>
      <c r="K66" s="25">
        <f>IF(K31&gt;0,K45/K31,0)</f>
        <v/>
      </c>
      <c r="L66" s="25">
        <f>IF(L31&gt;0,L45/L31,0)</f>
        <v/>
      </c>
      <c r="M66" s="25">
        <f>IF(M31&gt;0,M45/M31,0)</f>
        <v/>
      </c>
      <c r="N66" s="34" t="inlineStr"/>
      <c r="O66" s="15" t="inlineStr">
        <is>
          <t>Variable costs ÷ paying subscribers; shows direct cost of serving one paying user this month</t>
        </is>
      </c>
    </row>
    <row r="67" ht="15" customHeight="1">
      <c r="A67" s="20" t="inlineStr">
        <is>
          <t>Contribution margin per customer</t>
        </is>
      </c>
      <c r="B67" s="26">
        <f>IF(B31&gt;0,(B37-B45)/B31,0)</f>
        <v/>
      </c>
      <c r="C67" s="26">
        <f>IF(C31&gt;0,(C37-C45)/C31,0)</f>
        <v/>
      </c>
      <c r="D67" s="26">
        <f>IF(D31&gt;0,(D37-D45)/D31,0)</f>
        <v/>
      </c>
      <c r="E67" s="26">
        <f>IF(E31&gt;0,(E37-E45)/E31,0)</f>
        <v/>
      </c>
      <c r="F67" s="26">
        <f>IF(F31&gt;0,(F37-F45)/F31,0)</f>
        <v/>
      </c>
      <c r="G67" s="26">
        <f>IF(G31&gt;0,(G37-G45)/G31,0)</f>
        <v/>
      </c>
      <c r="H67" s="26">
        <f>IF(H31&gt;0,(H37-H45)/H31,0)</f>
        <v/>
      </c>
      <c r="I67" s="26">
        <f>IF(I31&gt;0,(I37-I45)/I31,0)</f>
        <v/>
      </c>
      <c r="J67" s="26">
        <f>IF(J31&gt;0,(J37-J45)/J31,0)</f>
        <v/>
      </c>
      <c r="K67" s="26">
        <f>IF(K31&gt;0,(K37-K45)/K31,0)</f>
        <v/>
      </c>
      <c r="L67" s="26">
        <f>IF(L31&gt;0,(L37-L45)/L31,0)</f>
        <v/>
      </c>
      <c r="M67" s="26">
        <f>IF(M31&gt;0,(M37-M45)/M31,0)</f>
        <v/>
      </c>
      <c r="N67" s="35" t="inlineStr"/>
      <c r="O67" s="15" t="inlineStr">
        <is>
          <t>Revenue per customer minus variable cost per customer; contribution toward fixed costs</t>
        </is>
      </c>
    </row>
    <row r="68" ht="15" customHeight="1">
      <c r="A68" s="16" t="inlineStr">
        <is>
          <t xml:space="preserve">    Contribution margin %</t>
        </is>
      </c>
      <c r="B68" s="29">
        <f>IF(B65&lt;&gt;0,B67/B65,0)</f>
        <v/>
      </c>
      <c r="C68" s="29">
        <f>IF(C65&lt;&gt;0,C67/C65,0)</f>
        <v/>
      </c>
      <c r="D68" s="29">
        <f>IF(D65&lt;&gt;0,D67/D65,0)</f>
        <v/>
      </c>
      <c r="E68" s="29">
        <f>IF(E65&lt;&gt;0,E67/E65,0)</f>
        <v/>
      </c>
      <c r="F68" s="29">
        <f>IF(F65&lt;&gt;0,F67/F65,0)</f>
        <v/>
      </c>
      <c r="G68" s="29">
        <f>IF(G65&lt;&gt;0,G67/G65,0)</f>
        <v/>
      </c>
      <c r="H68" s="29">
        <f>IF(H65&lt;&gt;0,H67/H65,0)</f>
        <v/>
      </c>
      <c r="I68" s="29">
        <f>IF(I65&lt;&gt;0,I67/I65,0)</f>
        <v/>
      </c>
      <c r="J68" s="29">
        <f>IF(J65&lt;&gt;0,J67/J65,0)</f>
        <v/>
      </c>
      <c r="K68" s="29">
        <f>IF(K65&lt;&gt;0,K67/K65,0)</f>
        <v/>
      </c>
      <c r="L68" s="29">
        <f>IF(L65&lt;&gt;0,L67/L65,0)</f>
        <v/>
      </c>
      <c r="M68" s="29">
        <f>IF(M65&lt;&gt;0,M67/M65,0)</f>
        <v/>
      </c>
      <c r="N68" s="29" t="inlineStr"/>
      <c r="O68" s="15" t="inlineStr">
        <is>
          <t>What % of each revenue dollar survives after variable costs — must be high enough to cover fixed costs</t>
        </is>
      </c>
    </row>
  </sheetData>
  <mergeCells count="29">
    <mergeCell ref="A25:O25"/>
    <mergeCell ref="A39:N39"/>
    <mergeCell ref="A34:N34"/>
    <mergeCell ref="D11:O11"/>
    <mergeCell ref="D13:O13"/>
    <mergeCell ref="A64:N64"/>
    <mergeCell ref="A59:N59"/>
    <mergeCell ref="A51:N51"/>
    <mergeCell ref="D17:O17"/>
    <mergeCell ref="D7:O7"/>
    <mergeCell ref="D16:O16"/>
    <mergeCell ref="A2:O2"/>
    <mergeCell ref="D18:O18"/>
    <mergeCell ref="D9:O9"/>
    <mergeCell ref="A4:O4"/>
    <mergeCell ref="D12:O12"/>
    <mergeCell ref="D8:O8"/>
    <mergeCell ref="A27:N27"/>
    <mergeCell ref="D15:O15"/>
    <mergeCell ref="D5:O5"/>
    <mergeCell ref="D14:O14"/>
    <mergeCell ref="A47:N47"/>
    <mergeCell ref="D20:O20"/>
    <mergeCell ref="D10:O10"/>
    <mergeCell ref="D19:O19"/>
    <mergeCell ref="A1:O1"/>
    <mergeCell ref="D22:O22"/>
    <mergeCell ref="D21:O21"/>
    <mergeCell ref="D6:O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" customWidth="1" min="14" max="14"/>
    <col width="62" customWidth="1" min="15" max="15"/>
  </cols>
  <sheetData>
    <row r="1" ht="28" customHeight="1">
      <c r="A1" s="1" t="inlineStr">
        <is>
          <t>AI Styling App — Year 1 Financial Model (Pessimistic Scenario)</t>
        </is>
      </c>
    </row>
    <row r="2" ht="16" customHeight="1">
      <c r="A2" s="2" t="inlineStr">
        <is>
          <t>BUS 395  |  Jane Dias  |  Slow adoption · 5% conversion · 25% monthly churn · heavier costs · $7/month</t>
        </is>
      </c>
    </row>
    <row r="3" ht="8" customHeight="1"/>
    <row r="4" ht="18" customHeight="1">
      <c r="A4" s="3" t="inlineStr">
        <is>
          <t>ASSUMPTIONS  —  Change values in yellow cells to model different scenarios. All other cells are formula-driven.</t>
        </is>
      </c>
    </row>
    <row r="5" ht="15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Note — [GROUNDED]=from data · [ESTIMATE]=benchmark · [ASSUMPTION]=untested</t>
        </is>
      </c>
    </row>
    <row r="6" ht="15" customHeight="1">
      <c r="A6" s="5" t="inlineStr">
        <is>
          <t>Subscription price</t>
        </is>
      </c>
      <c r="B6" s="6" t="n">
        <v>7</v>
      </c>
      <c r="C6" s="7" t="inlineStr">
        <is>
          <t>$/month</t>
        </is>
      </c>
      <c r="D6" s="8" t="inlineStr">
        <is>
          <t>ASSUMPTION — unvalidated; competitive floor is $8–13/month; $7 may be too low</t>
        </is>
      </c>
    </row>
    <row r="7" ht="15" customHeight="1">
      <c r="A7" s="5" t="inlineStr">
        <is>
          <t>Stripe processing fee (%)</t>
        </is>
      </c>
      <c r="B7" s="9" t="n">
        <v>0.029</v>
      </c>
      <c r="C7" s="7" t="inlineStr">
        <is>
          <t>%</t>
        </is>
      </c>
      <c r="D7" s="8" t="inlineStr">
        <is>
          <t>GROUNDED — Stripe published pricing (2.9%)</t>
        </is>
      </c>
    </row>
    <row r="8" ht="15" customHeight="1">
      <c r="A8" s="5" t="inlineStr">
        <is>
          <t>Stripe processing fee (fixed)</t>
        </is>
      </c>
      <c r="B8" s="6" t="n">
        <v>0.3</v>
      </c>
      <c r="C8" s="7" t="inlineStr">
        <is>
          <t>$/transaction</t>
        </is>
      </c>
      <c r="D8" s="8" t="inlineStr">
        <is>
          <t>GROUNDED — Stripe published pricing ($0.30 per charge)</t>
        </is>
      </c>
    </row>
    <row r="9" ht="15" customHeight="1">
      <c r="A9" s="5" t="inlineStr">
        <is>
          <t>Trial-to-paid conversion rate</t>
        </is>
      </c>
      <c r="B9" s="9" t="n">
        <v>0.05</v>
      </c>
      <c r="C9" s="7" t="inlineStr">
        <is>
          <t>%</t>
        </is>
      </c>
      <c r="D9" s="8" t="inlineStr">
        <is>
          <t>ASSUMPTION — 5% conversion; most trial users hit the paywall and leave; paywall resistance is higher than expected</t>
        </is>
      </c>
    </row>
    <row r="10" ht="15" customHeight="1">
      <c r="A10" s="5" t="inlineStr">
        <is>
          <t>Monthly subscriber churn rate</t>
        </is>
      </c>
      <c r="B10" s="9" t="n">
        <v>0.25</v>
      </c>
      <c r="C10" s="7" t="inlineStr">
        <is>
          <t>%</t>
        </is>
      </c>
      <c r="D10" s="8" t="inlineStr">
        <is>
          <t>ASSUMPTION — 25% monthly churn; users try it but don't find lasting value; implies ~4-month avg retention</t>
        </is>
      </c>
    </row>
    <row r="11" ht="15" customHeight="1">
      <c r="A11" s="5" t="inlineStr">
        <is>
          <t>LLM inference cost per photo</t>
        </is>
      </c>
      <c r="B11" s="6" t="n">
        <v>0.03</v>
      </c>
      <c r="C11" s="7" t="inlineStr">
        <is>
          <t>$/photo</t>
        </is>
      </c>
      <c r="D11" s="8" t="inlineStr">
        <is>
          <t>ESTIMATE — based on Claude Sonnet token pricing (~$0.027 computed from token rates)</t>
        </is>
      </c>
    </row>
    <row r="12" ht="15" customHeight="1">
      <c r="A12" s="5" t="inlineStr">
        <is>
          <t>Photos per paying user per month</t>
        </is>
      </c>
      <c r="B12" s="10" t="n">
        <v>50</v>
      </c>
      <c r="C12" s="7" t="inlineStr">
        <is>
          <t>photos</t>
        </is>
      </c>
      <c r="D12" s="8" t="inlineStr">
        <is>
          <t>ASSUMPTION — 50 photos/month; heavy usage but not translating to retention</t>
        </is>
      </c>
    </row>
    <row r="13" ht="15" customHeight="1">
      <c r="A13" s="5" t="inlineStr">
        <is>
          <t>Photos per free trial session</t>
        </is>
      </c>
      <c r="B13" s="10" t="n">
        <v>7</v>
      </c>
      <c r="C13" s="7" t="inlineStr">
        <is>
          <t>photos</t>
        </is>
      </c>
      <c r="D13" s="8" t="inlineStr">
        <is>
          <t>ASSUMPTION — users take more photos per session during trial exploring the product, still don't convert</t>
        </is>
      </c>
    </row>
    <row r="14" ht="15" customHeight="1">
      <c r="A14" s="5" t="inlineStr">
        <is>
          <t>Sessions in free trial period</t>
        </is>
      </c>
      <c r="B14" s="10" t="n">
        <v>8</v>
      </c>
      <c r="C14" s="7" t="inlineStr">
        <is>
          <t>sessions</t>
        </is>
      </c>
      <c r="D14" s="8" t="inlineStr">
        <is>
          <t>Product design decision</t>
        </is>
      </c>
    </row>
    <row r="15" ht="15" customHeight="1">
      <c r="A15" s="5" t="inlineStr">
        <is>
          <t>Variable infrastructure per active user</t>
        </is>
      </c>
      <c r="B15" s="6" t="n">
        <v>0.35</v>
      </c>
      <c r="C15" s="7" t="inlineStr">
        <is>
          <t>$/user/month</t>
        </is>
      </c>
      <c r="D15" s="8" t="inlineStr">
        <is>
          <t>ESTIMATE — infrastructure costs run above expectation; $0.35 vs base $0.25 per active user</t>
        </is>
      </c>
    </row>
    <row r="16" ht="15" customHeight="1">
      <c r="A16" s="5" t="inlineStr">
        <is>
          <t>Refund &amp; chargeback rate</t>
        </is>
      </c>
      <c r="B16" s="9" t="n">
        <v>0.05</v>
      </c>
      <c r="C16" s="7" t="inlineStr">
        <is>
          <t>% of gross</t>
        </is>
      </c>
      <c r="D16" s="8" t="inlineStr">
        <is>
          <t>ASSUMPTION — 5% refund/chargeback rate; dissatisfied users dispute charges; one chargeback = $15 fee from Stripe</t>
        </is>
      </c>
    </row>
    <row r="17" ht="15" customHeight="1">
      <c r="A17" s="5" t="inlineStr">
        <is>
          <t>Your hourly rate</t>
        </is>
      </c>
      <c r="B17" s="6" t="n">
        <v>15</v>
      </c>
      <c r="C17" s="7" t="inlineStr">
        <is>
          <t>$/hour</t>
        </is>
      </c>
      <c r="D17" s="8" t="inlineStr">
        <is>
          <t>Per course instruction</t>
        </is>
      </c>
    </row>
    <row r="18" ht="15" customHeight="1">
      <c r="A18" s="5" t="inlineStr">
        <is>
          <t>Hours worked per week (all activities)</t>
        </is>
      </c>
      <c r="B18" s="10" t="n">
        <v>13</v>
      </c>
      <c r="C18" s="7" t="inlineStr">
        <is>
          <t>hrs/week</t>
        </is>
      </c>
      <c r="D18" s="8" t="inlineStr">
        <is>
          <t>ASSUMPTION — 13 hrs/week; heavier support burden, more debugging, more one-on-one help to retain subscribers</t>
        </is>
      </c>
    </row>
    <row r="19" ht="15" customHeight="1">
      <c r="A19" s="5" t="inlineStr">
        <is>
          <t>Insurance — cyber + general + E&amp;O</t>
        </is>
      </c>
      <c r="B19" s="6" t="n">
        <v>200</v>
      </c>
      <c r="C19" s="7" t="inlineStr">
        <is>
          <t>$/month</t>
        </is>
      </c>
      <c r="D19" s="8" t="inlineStr">
        <is>
          <t>ESTIMATE — higher end of $130–200 range; prior claims or coverage gaps increase premium</t>
        </is>
      </c>
    </row>
    <row r="20" ht="15" customHeight="1">
      <c r="A20" s="5" t="inlineStr">
        <is>
          <t>Software tools + LLC annual fees</t>
        </is>
      </c>
      <c r="B20" s="6" t="n">
        <v>50</v>
      </c>
      <c r="C20" s="7" t="inlineStr">
        <is>
          <t>$/month</t>
        </is>
      </c>
      <c r="D20" s="8" t="inlineStr">
        <is>
          <t>ESTIMATE — additional tools needed to diagnose performance issues; LLC filing complications add cost</t>
        </is>
      </c>
    </row>
    <row r="21" ht="15" customHeight="1">
      <c r="A21" s="5" t="inlineStr">
        <is>
          <t>Base infrastructure (server + DB)</t>
        </is>
      </c>
      <c r="B21" s="6" t="n">
        <v>90</v>
      </c>
      <c r="C21" s="7" t="inlineStr">
        <is>
          <t>$/month</t>
        </is>
      </c>
      <c r="D21" s="8" t="inlineStr">
        <is>
          <t>ESTIMATE — more server capacity needed to debug reliability and performance problems</t>
        </is>
      </c>
    </row>
    <row r="22" ht="15" customHeight="1">
      <c r="A22" s="5" t="inlineStr">
        <is>
          <t>Legal / compliance (amortized)</t>
        </is>
      </c>
      <c r="B22" s="6" t="n">
        <v>120</v>
      </c>
      <c r="C22" s="7" t="inlineStr">
        <is>
          <t>$/month</t>
        </is>
      </c>
      <c r="D22" s="8" t="inlineStr">
        <is>
          <t>ESTIMATE — compliance questions surface from users; additional legal review required beyond initial TOS</t>
        </is>
      </c>
    </row>
    <row r="23" ht="8" customHeight="1"/>
    <row r="24" ht="8" customHeight="1"/>
    <row r="25" ht="22" customHeight="1">
      <c r="A25" s="11" t="inlineStr">
        <is>
          <t>PESSIMISTIC SCENARIO — MONTHLY PROJECTION  (Year 1)</t>
        </is>
      </c>
    </row>
    <row r="26" ht="18" customHeight="1">
      <c r="A26" s="12" t="inlineStr">
        <is>
          <t>Line Item</t>
        </is>
      </c>
      <c r="B26" s="13" t="inlineStr">
        <is>
          <t>Month 1</t>
        </is>
      </c>
      <c r="C26" s="13" t="inlineStr">
        <is>
          <t>Month 2</t>
        </is>
      </c>
      <c r="D26" s="13" t="inlineStr">
        <is>
          <t>Month 3</t>
        </is>
      </c>
      <c r="E26" s="13" t="inlineStr">
        <is>
          <t>Month 4</t>
        </is>
      </c>
      <c r="F26" s="13" t="inlineStr">
        <is>
          <t>Month 5</t>
        </is>
      </c>
      <c r="G26" s="13" t="inlineStr">
        <is>
          <t>Month 6</t>
        </is>
      </c>
      <c r="H26" s="13" t="inlineStr">
        <is>
          <t>Month 7</t>
        </is>
      </c>
      <c r="I26" s="13" t="inlineStr">
        <is>
          <t>Month 8</t>
        </is>
      </c>
      <c r="J26" s="13" t="inlineStr">
        <is>
          <t>Month 9</t>
        </is>
      </c>
      <c r="K26" s="13" t="inlineStr">
        <is>
          <t>Month 10</t>
        </is>
      </c>
      <c r="L26" s="13" t="inlineStr">
        <is>
          <t>Month 11</t>
        </is>
      </c>
      <c r="M26" s="13" t="inlineStr">
        <is>
          <t>Month 12</t>
        </is>
      </c>
      <c r="N26" s="14" t="inlineStr">
        <is>
          <t>Year Total</t>
        </is>
      </c>
      <c r="O26" s="12" t="inlineStr">
        <is>
          <t>Comments</t>
        </is>
      </c>
    </row>
    <row r="27" ht="16" customHeight="1">
      <c r="A27" s="3" t="inlineStr">
        <is>
          <t xml:space="preserve">  CUSTOMER METRICS</t>
        </is>
      </c>
      <c r="O27" s="15" t="inlineStr"/>
    </row>
    <row r="28" ht="15" customHeight="1">
      <c r="A28" s="16" t="inlineStr">
        <is>
          <t xml:space="preserve">    New trial signups (inputs)</t>
        </is>
      </c>
      <c r="B28" s="10" t="n">
        <v>15</v>
      </c>
      <c r="C28" s="10" t="n">
        <v>20</v>
      </c>
      <c r="D28" s="10" t="n">
        <v>28</v>
      </c>
      <c r="E28" s="10" t="n">
        <v>35</v>
      </c>
      <c r="F28" s="10" t="n">
        <v>45</v>
      </c>
      <c r="G28" s="10" t="n">
        <v>55</v>
      </c>
      <c r="H28" s="10" t="n">
        <v>65</v>
      </c>
      <c r="I28" s="10" t="n">
        <v>75</v>
      </c>
      <c r="J28" s="10" t="n">
        <v>80</v>
      </c>
      <c r="K28" s="10" t="n">
        <v>85</v>
      </c>
      <c r="L28" s="10" t="n">
        <v>90</v>
      </c>
      <c r="M28" s="10" t="n">
        <v>95</v>
      </c>
      <c r="N28" s="17">
        <f>SUM(B28:M28)</f>
        <v/>
      </c>
      <c r="O28" s="15" t="inlineStr">
        <is>
          <t>INPUTS (yellow) — change these to model faster or slower growth</t>
        </is>
      </c>
    </row>
    <row r="29" ht="15" customHeight="1">
      <c r="A29" s="16" t="inlineStr">
        <is>
          <t xml:space="preserve">    New paying subscribers (converts)</t>
        </is>
      </c>
      <c r="B29" s="18" t="n">
        <v>0</v>
      </c>
      <c r="C29" s="18">
        <f>B28*$B$9</f>
        <v/>
      </c>
      <c r="D29" s="18">
        <f>C28*$B$9</f>
        <v/>
      </c>
      <c r="E29" s="18">
        <f>D28*$B$9</f>
        <v/>
      </c>
      <c r="F29" s="18">
        <f>E28*$B$9</f>
        <v/>
      </c>
      <c r="G29" s="18">
        <f>F28*$B$9</f>
        <v/>
      </c>
      <c r="H29" s="18">
        <f>G28*$B$9</f>
        <v/>
      </c>
      <c r="I29" s="18">
        <f>H28*$B$9</f>
        <v/>
      </c>
      <c r="J29" s="18">
        <f>I28*$B$9</f>
        <v/>
      </c>
      <c r="K29" s="18">
        <f>J28*$B$9</f>
        <v/>
      </c>
      <c r="L29" s="18">
        <f>K28*$B$9</f>
        <v/>
      </c>
      <c r="M29" s="18">
        <f>L28*$B$9</f>
        <v/>
      </c>
      <c r="N29" s="18">
        <f>SUM(B29:M29)</f>
        <v/>
      </c>
      <c r="O29" s="15" t="inlineStr">
        <is>
          <t>Prior month's trial signups × conversion rate; 1-month lag (users need time to complete 8 sessions)</t>
        </is>
      </c>
    </row>
    <row r="30" ht="15" customHeight="1">
      <c r="A30" s="16" t="inlineStr">
        <is>
          <t xml:space="preserve">    Subscribers lost to churn</t>
        </is>
      </c>
      <c r="B30" s="19" t="n">
        <v>0</v>
      </c>
      <c r="C30" s="19">
        <f>B31*$B$10</f>
        <v/>
      </c>
      <c r="D30" s="19">
        <f>C31*$B$10</f>
        <v/>
      </c>
      <c r="E30" s="19">
        <f>D31*$B$10</f>
        <v/>
      </c>
      <c r="F30" s="19">
        <f>E31*$B$10</f>
        <v/>
      </c>
      <c r="G30" s="19">
        <f>F31*$B$10</f>
        <v/>
      </c>
      <c r="H30" s="19">
        <f>G31*$B$10</f>
        <v/>
      </c>
      <c r="I30" s="19">
        <f>H31*$B$10</f>
        <v/>
      </c>
      <c r="J30" s="19">
        <f>I31*$B$10</f>
        <v/>
      </c>
      <c r="K30" s="19">
        <f>J31*$B$10</f>
        <v/>
      </c>
      <c r="L30" s="19">
        <f>K31*$B$10</f>
        <v/>
      </c>
      <c r="M30" s="19">
        <f>L31*$B$10</f>
        <v/>
      </c>
      <c r="N30" s="19">
        <f>SUM(B30:M30)</f>
        <v/>
      </c>
      <c r="O30" s="15" t="inlineStr">
        <is>
          <t>Prior month's paying subscribers × 16.7% monthly churn = ~1 in 6 subscribers leaves each month</t>
        </is>
      </c>
    </row>
    <row r="31" ht="15" customHeight="1">
      <c r="A31" s="20" t="inlineStr">
        <is>
          <t>Total paying subscribers (end of month)</t>
        </is>
      </c>
      <c r="B31" s="21">
        <f>MAX(0,0+B29-B30)</f>
        <v/>
      </c>
      <c r="C31" s="21">
        <f>MAX(0,B31+C29-C30)</f>
        <v/>
      </c>
      <c r="D31" s="21">
        <f>MAX(0,C31+D29-D30)</f>
        <v/>
      </c>
      <c r="E31" s="21">
        <f>MAX(0,D31+E29-E30)</f>
        <v/>
      </c>
      <c r="F31" s="21">
        <f>MAX(0,E31+F29-F30)</f>
        <v/>
      </c>
      <c r="G31" s="21">
        <f>MAX(0,F31+G29-G30)</f>
        <v/>
      </c>
      <c r="H31" s="21">
        <f>MAX(0,G31+H29-H30)</f>
        <v/>
      </c>
      <c r="I31" s="21">
        <f>MAX(0,H31+I29-I30)</f>
        <v/>
      </c>
      <c r="J31" s="21">
        <f>MAX(0,I31+J29-J30)</f>
        <v/>
      </c>
      <c r="K31" s="21">
        <f>MAX(0,J31+K29-K30)</f>
        <v/>
      </c>
      <c r="L31" s="21">
        <f>MAX(0,K31+L29-L30)</f>
        <v/>
      </c>
      <c r="M31" s="21">
        <f>MAX(0,L31+M29-M30)</f>
        <v/>
      </c>
      <c r="N31" s="21">
        <f>M31</f>
        <v/>
      </c>
      <c r="O31" s="15" t="inlineStr">
        <is>
          <t>Paying subs (end of month) = prior subs + new converts − churned; capped at zero</t>
        </is>
      </c>
    </row>
    <row r="32" ht="15" customHeight="1">
      <c r="A32" s="16" t="inlineStr">
        <is>
          <t xml:space="preserve">    Active users (trial + paid)</t>
        </is>
      </c>
      <c r="B32" s="22">
        <f>B28+B31</f>
        <v/>
      </c>
      <c r="C32" s="22">
        <f>C28+C31</f>
        <v/>
      </c>
      <c r="D32" s="22">
        <f>D28+D31</f>
        <v/>
      </c>
      <c r="E32" s="22">
        <f>E28+E31</f>
        <v/>
      </c>
      <c r="F32" s="22">
        <f>F28+F31</f>
        <v/>
      </c>
      <c r="G32" s="22">
        <f>G28+G31</f>
        <v/>
      </c>
      <c r="H32" s="22">
        <f>H28+H31</f>
        <v/>
      </c>
      <c r="I32" s="22">
        <f>I28+I31</f>
        <v/>
      </c>
      <c r="J32" s="22">
        <f>J28+J31</f>
        <v/>
      </c>
      <c r="K32" s="22">
        <f>K28+K31</f>
        <v/>
      </c>
      <c r="L32" s="22">
        <f>L28+L31</f>
        <v/>
      </c>
      <c r="M32" s="22">
        <f>M28+M31</f>
        <v/>
      </c>
      <c r="N32" s="22">
        <f>SUM(B32:M32)</f>
        <v/>
      </c>
      <c r="O32" s="15" t="inlineStr">
        <is>
          <t>All users consuming LLM inference: paying subscribers + new trial signups entering this month</t>
        </is>
      </c>
    </row>
    <row r="33" ht="5" customHeight="1"/>
    <row r="34" ht="16" customHeight="1">
      <c r="A34" s="23" t="inlineStr">
        <is>
          <t xml:space="preserve">  REVENUE</t>
        </is>
      </c>
      <c r="O34" s="15" t="inlineStr"/>
    </row>
    <row r="35" ht="15" customHeight="1">
      <c r="A35" s="16" t="inlineStr">
        <is>
          <t xml:space="preserve">    Gross subscription revenue</t>
        </is>
      </c>
      <c r="B35" s="24">
        <f>B31*$B$6</f>
        <v/>
      </c>
      <c r="C35" s="24">
        <f>C31*$B$6</f>
        <v/>
      </c>
      <c r="D35" s="24">
        <f>D31*$B$6</f>
        <v/>
      </c>
      <c r="E35" s="24">
        <f>E31*$B$6</f>
        <v/>
      </c>
      <c r="F35" s="24">
        <f>F31*$B$6</f>
        <v/>
      </c>
      <c r="G35" s="24">
        <f>G31*$B$6</f>
        <v/>
      </c>
      <c r="H35" s="24">
        <f>H31*$B$6</f>
        <v/>
      </c>
      <c r="I35" s="24">
        <f>I31*$B$6</f>
        <v/>
      </c>
      <c r="J35" s="24">
        <f>J31*$B$6</f>
        <v/>
      </c>
      <c r="K35" s="24">
        <f>K31*$B$6</f>
        <v/>
      </c>
      <c r="L35" s="24">
        <f>L31*$B$6</f>
        <v/>
      </c>
      <c r="M35" s="24">
        <f>M31*$B$6</f>
        <v/>
      </c>
      <c r="N35" s="24">
        <f>SUM(B35:M35)</f>
        <v/>
      </c>
      <c r="O35" s="15" t="inlineStr">
        <is>
          <t>Paying subscribers × $7/month — the unvalidated price point; model at $10 to see how math improves</t>
        </is>
      </c>
    </row>
    <row r="36" ht="15" customHeight="1">
      <c r="A36" s="16" t="inlineStr">
        <is>
          <t xml:space="preserve">      (less) Stripe processing fees</t>
        </is>
      </c>
      <c r="B36" s="25">
        <f>-(B35*$B$7+B31*$B$8)</f>
        <v/>
      </c>
      <c r="C36" s="25">
        <f>-(C35*$B$7+C31*$B$8)</f>
        <v/>
      </c>
      <c r="D36" s="25">
        <f>-(D35*$B$7+D31*$B$8)</f>
        <v/>
      </c>
      <c r="E36" s="25">
        <f>-(E35*$B$7+E31*$B$8)</f>
        <v/>
      </c>
      <c r="F36" s="25">
        <f>-(F35*$B$7+F31*$B$8)</f>
        <v/>
      </c>
      <c r="G36" s="25">
        <f>-(G35*$B$7+G31*$B$8)</f>
        <v/>
      </c>
      <c r="H36" s="25">
        <f>-(H35*$B$7+H31*$B$8)</f>
        <v/>
      </c>
      <c r="I36" s="25">
        <f>-(I35*$B$7+I31*$B$8)</f>
        <v/>
      </c>
      <c r="J36" s="25">
        <f>-(J35*$B$7+J31*$B$8)</f>
        <v/>
      </c>
      <c r="K36" s="25">
        <f>-(K35*$B$7+K31*$B$8)</f>
        <v/>
      </c>
      <c r="L36" s="25">
        <f>-(L35*$B$7+L31*$B$8)</f>
        <v/>
      </c>
      <c r="M36" s="25">
        <f>-(M35*$B$7+M31*$B$8)</f>
        <v/>
      </c>
      <c r="N36" s="25">
        <f>SUM(B36:M36)</f>
        <v/>
      </c>
      <c r="O36" s="15" t="inlineStr">
        <is>
          <t>Stripe: 2.9% of charge + $0.30 per transaction; shown as negative (cash leaving)</t>
        </is>
      </c>
    </row>
    <row r="37" ht="15" customHeight="1">
      <c r="A37" s="20" t="inlineStr">
        <is>
          <t>Net subscription revenue</t>
        </is>
      </c>
      <c r="B37" s="26">
        <f>B35+B36</f>
        <v/>
      </c>
      <c r="C37" s="26">
        <f>C35+C36</f>
        <v/>
      </c>
      <c r="D37" s="26">
        <f>D35+D36</f>
        <v/>
      </c>
      <c r="E37" s="26">
        <f>E35+E36</f>
        <v/>
      </c>
      <c r="F37" s="26">
        <f>F35+F36</f>
        <v/>
      </c>
      <c r="G37" s="26">
        <f>G35+G36</f>
        <v/>
      </c>
      <c r="H37" s="26">
        <f>H35+H36</f>
        <v/>
      </c>
      <c r="I37" s="26">
        <f>I35+I36</f>
        <v/>
      </c>
      <c r="J37" s="26">
        <f>J35+J36</f>
        <v/>
      </c>
      <c r="K37" s="26">
        <f>K35+K36</f>
        <v/>
      </c>
      <c r="L37" s="26">
        <f>L35+L36</f>
        <v/>
      </c>
      <c r="M37" s="26">
        <f>M35+M36</f>
        <v/>
      </c>
      <c r="N37" s="26">
        <f>SUM(B37:M37)</f>
        <v/>
      </c>
      <c r="O37" s="15" t="inlineStr">
        <is>
          <t>What arrives in your bank account after Stripe takes its cut</t>
        </is>
      </c>
    </row>
    <row r="38" ht="5" customHeight="1"/>
    <row r="39" ht="16" customHeight="1">
      <c r="A39" s="27" t="inlineStr">
        <is>
          <t xml:space="preserve">  VARIABLE COSTS  (scale with user count)</t>
        </is>
      </c>
      <c r="O39" s="15" t="inlineStr"/>
    </row>
    <row r="40" ht="15" customHeight="1">
      <c r="A40" s="16" t="inlineStr">
        <is>
          <t xml:space="preserve">    LLM inference — paying users</t>
        </is>
      </c>
      <c r="B40" s="25">
        <f>B31*$B$12*$B$11</f>
        <v/>
      </c>
      <c r="C40" s="25">
        <f>C31*$B$12*$B$11</f>
        <v/>
      </c>
      <c r="D40" s="25">
        <f>D31*$B$12*$B$11</f>
        <v/>
      </c>
      <c r="E40" s="25">
        <f>E31*$B$12*$B$11</f>
        <v/>
      </c>
      <c r="F40" s="25">
        <f>F31*$B$12*$B$11</f>
        <v/>
      </c>
      <c r="G40" s="25">
        <f>G31*$B$12*$B$11</f>
        <v/>
      </c>
      <c r="H40" s="25">
        <f>H31*$B$12*$B$11</f>
        <v/>
      </c>
      <c r="I40" s="25">
        <f>I31*$B$12*$B$11</f>
        <v/>
      </c>
      <c r="J40" s="25">
        <f>J31*$B$12*$B$11</f>
        <v/>
      </c>
      <c r="K40" s="25">
        <f>K31*$B$12*$B$11</f>
        <v/>
      </c>
      <c r="L40" s="25">
        <f>L31*$B$12*$B$11</f>
        <v/>
      </c>
      <c r="M40" s="25">
        <f>M31*$B$12*$B$11</f>
        <v/>
      </c>
      <c r="N40" s="25">
        <f>SUM(B40:M40)</f>
        <v/>
      </c>
      <c r="O40" s="15" t="inlineStr">
        <is>
          <t>Paying users × 43 photos/month × $0.03/photo — core product cost, scales with usage</t>
        </is>
      </c>
    </row>
    <row r="41" ht="15" customHeight="1">
      <c r="A41" s="16" t="inlineStr">
        <is>
          <t xml:space="preserve">    LLM inference — free trial users</t>
        </is>
      </c>
      <c r="B41" s="25">
        <f>B28*$B$14*$B$13*$B$11</f>
        <v/>
      </c>
      <c r="C41" s="25">
        <f>C28*$B$14*$B$13*$B$11</f>
        <v/>
      </c>
      <c r="D41" s="25">
        <f>D28*$B$14*$B$13*$B$11</f>
        <v/>
      </c>
      <c r="E41" s="25">
        <f>E28*$B$14*$B$13*$B$11</f>
        <v/>
      </c>
      <c r="F41" s="25">
        <f>F28*$B$14*$B$13*$B$11</f>
        <v/>
      </c>
      <c r="G41" s="25">
        <f>G28*$B$14*$B$13*$B$11</f>
        <v/>
      </c>
      <c r="H41" s="25">
        <f>H28*$B$14*$B$13*$B$11</f>
        <v/>
      </c>
      <c r="I41" s="25">
        <f>I28*$B$14*$B$13*$B$11</f>
        <v/>
      </c>
      <c r="J41" s="25">
        <f>J28*$B$14*$B$13*$B$11</f>
        <v/>
      </c>
      <c r="K41" s="25">
        <f>K28*$B$14*$B$13*$B$11</f>
        <v/>
      </c>
      <c r="L41" s="25">
        <f>L28*$B$14*$B$13*$B$11</f>
        <v/>
      </c>
      <c r="M41" s="25">
        <f>M28*$B$14*$B$13*$B$11</f>
        <v/>
      </c>
      <c r="N41" s="25">
        <f>SUM(B41:M41)</f>
        <v/>
      </c>
      <c r="O41" s="15" t="inlineStr">
        <is>
          <t>Trial users × 8 sessions × 5 photos × $0.03 — trial users cost money even if they never convert</t>
        </is>
      </c>
    </row>
    <row r="42" ht="15" customHeight="1">
      <c r="A42" s="16" t="inlineStr">
        <is>
          <t xml:space="preserve">    Variable infrastructure (per active user)</t>
        </is>
      </c>
      <c r="B42" s="25">
        <f>B32*$B$15</f>
        <v/>
      </c>
      <c r="C42" s="25">
        <f>C32*$B$15</f>
        <v/>
      </c>
      <c r="D42" s="25">
        <f>D32*$B$15</f>
        <v/>
      </c>
      <c r="E42" s="25">
        <f>E32*$B$15</f>
        <v/>
      </c>
      <c r="F42" s="25">
        <f>F32*$B$15</f>
        <v/>
      </c>
      <c r="G42" s="25">
        <f>G32*$B$15</f>
        <v/>
      </c>
      <c r="H42" s="25">
        <f>H32*$B$15</f>
        <v/>
      </c>
      <c r="I42" s="25">
        <f>I32*$B$15</f>
        <v/>
      </c>
      <c r="J42" s="25">
        <f>J32*$B$15</f>
        <v/>
      </c>
      <c r="K42" s="25">
        <f>K32*$B$15</f>
        <v/>
      </c>
      <c r="L42" s="25">
        <f>L32*$B$15</f>
        <v/>
      </c>
      <c r="M42" s="25">
        <f>M32*$B$15</f>
        <v/>
      </c>
      <c r="N42" s="25">
        <f>SUM(B42:M42)</f>
        <v/>
      </c>
      <c r="O42" s="15" t="inlineStr">
        <is>
          <t>All active users (trial + paid) × $0.25 — marginal AWS bandwidth/compute per user</t>
        </is>
      </c>
    </row>
    <row r="43" ht="15" customHeight="1">
      <c r="A43" s="16" t="inlineStr">
        <is>
          <t xml:space="preserve">    Refunds &amp; chargebacks</t>
        </is>
      </c>
      <c r="B43" s="25">
        <f>B35*$B$16</f>
        <v/>
      </c>
      <c r="C43" s="25">
        <f>C35*$B$16</f>
        <v/>
      </c>
      <c r="D43" s="25">
        <f>D35*$B$16</f>
        <v/>
      </c>
      <c r="E43" s="25">
        <f>E35*$B$16</f>
        <v/>
      </c>
      <c r="F43" s="25">
        <f>F35*$B$16</f>
        <v/>
      </c>
      <c r="G43" s="25">
        <f>G35*$B$16</f>
        <v/>
      </c>
      <c r="H43" s="25">
        <f>H35*$B$16</f>
        <v/>
      </c>
      <c r="I43" s="25">
        <f>I35*$B$16</f>
        <v/>
      </c>
      <c r="J43" s="25">
        <f>J35*$B$16</f>
        <v/>
      </c>
      <c r="K43" s="25">
        <f>K35*$B$16</f>
        <v/>
      </c>
      <c r="L43" s="25">
        <f>L35*$B$16</f>
        <v/>
      </c>
      <c r="M43" s="25">
        <f>M35*$B$16</f>
        <v/>
      </c>
      <c r="N43" s="25">
        <f>SUM(B43:M43)</f>
        <v/>
      </c>
      <c r="O43" s="15" t="inlineStr">
        <is>
          <t>2% of gross revenue — Stripe keeps transaction fees on refunds; chargebacks cost $15 each regardless</t>
        </is>
      </c>
    </row>
    <row r="44" ht="15" customHeight="1">
      <c r="A44" s="16" t="inlineStr">
        <is>
          <t xml:space="preserve">    Stripe Tax fee (SaaS sales tax collection 0.5%)</t>
        </is>
      </c>
      <c r="B44" s="25">
        <f>B35*0.005</f>
        <v/>
      </c>
      <c r="C44" s="25">
        <f>C35*0.005</f>
        <v/>
      </c>
      <c r="D44" s="25">
        <f>D35*0.005</f>
        <v/>
      </c>
      <c r="E44" s="25">
        <f>E35*0.005</f>
        <v/>
      </c>
      <c r="F44" s="25">
        <f>F35*0.005</f>
        <v/>
      </c>
      <c r="G44" s="25">
        <f>G35*0.005</f>
        <v/>
      </c>
      <c r="H44" s="25">
        <f>H35*0.005</f>
        <v/>
      </c>
      <c r="I44" s="25">
        <f>I35*0.005</f>
        <v/>
      </c>
      <c r="J44" s="25">
        <f>J35*0.005</f>
        <v/>
      </c>
      <c r="K44" s="25">
        <f>K35*0.005</f>
        <v/>
      </c>
      <c r="L44" s="25">
        <f>L35*0.005</f>
        <v/>
      </c>
      <c r="M44" s="25">
        <f>M35*0.005</f>
        <v/>
      </c>
      <c r="N44" s="25">
        <f>SUM(B44:M44)</f>
        <v/>
      </c>
      <c r="O44" s="15" t="inlineStr">
        <is>
          <t>Stripe Tax service fee (0.5%) to collect and remit SaaS sales tax; legally required in 30+ US states</t>
        </is>
      </c>
    </row>
    <row r="45" ht="15" customHeight="1">
      <c r="A45" s="27" t="inlineStr">
        <is>
          <t>TOTAL VARIABLE COSTS</t>
        </is>
      </c>
      <c r="B45" s="28">
        <f>SUM(B40:B44)</f>
        <v/>
      </c>
      <c r="C45" s="28">
        <f>SUM(C40:C44)</f>
        <v/>
      </c>
      <c r="D45" s="28">
        <f>SUM(D40:D44)</f>
        <v/>
      </c>
      <c r="E45" s="28">
        <f>SUM(E40:E44)</f>
        <v/>
      </c>
      <c r="F45" s="28">
        <f>SUM(F40:F44)</f>
        <v/>
      </c>
      <c r="G45" s="28">
        <f>SUM(G40:G44)</f>
        <v/>
      </c>
      <c r="H45" s="28">
        <f>SUM(H40:H44)</f>
        <v/>
      </c>
      <c r="I45" s="28">
        <f>SUM(I40:I44)</f>
        <v/>
      </c>
      <c r="J45" s="28">
        <f>SUM(J40:J44)</f>
        <v/>
      </c>
      <c r="K45" s="28">
        <f>SUM(K40:K44)</f>
        <v/>
      </c>
      <c r="L45" s="28">
        <f>SUM(L40:L44)</f>
        <v/>
      </c>
      <c r="M45" s="28">
        <f>SUM(M40:M44)</f>
        <v/>
      </c>
      <c r="N45" s="28">
        <f>SUM(B45:M45)</f>
        <v/>
      </c>
      <c r="O45" s="15" t="inlineStr">
        <is>
          <t>Total costs that scale with your user base — LLM costs dominate</t>
        </is>
      </c>
    </row>
    <row r="46" ht="5" customHeight="1"/>
    <row r="47" ht="16" customHeight="1">
      <c r="A47" s="23" t="inlineStr">
        <is>
          <t xml:space="preserve">  GROSS PROFIT</t>
        </is>
      </c>
      <c r="O47" s="15" t="inlineStr"/>
    </row>
    <row r="48" ht="15" customHeight="1">
      <c r="A48" s="20" t="inlineStr">
        <is>
          <t>Gross profit</t>
        </is>
      </c>
      <c r="B48" s="26">
        <f>B37-B45</f>
        <v/>
      </c>
      <c r="C48" s="26">
        <f>C37-C45</f>
        <v/>
      </c>
      <c r="D48" s="26">
        <f>D37-D45</f>
        <v/>
      </c>
      <c r="E48" s="26">
        <f>E37-E45</f>
        <v/>
      </c>
      <c r="F48" s="26">
        <f>F37-F45</f>
        <v/>
      </c>
      <c r="G48" s="26">
        <f>G37-G45</f>
        <v/>
      </c>
      <c r="H48" s="26">
        <f>H37-H45</f>
        <v/>
      </c>
      <c r="I48" s="26">
        <f>I37-I45</f>
        <v/>
      </c>
      <c r="J48" s="26">
        <f>J37-J45</f>
        <v/>
      </c>
      <c r="K48" s="26">
        <f>K37-K45</f>
        <v/>
      </c>
      <c r="L48" s="26">
        <f>L37-L45</f>
        <v/>
      </c>
      <c r="M48" s="26">
        <f>M37-M45</f>
        <v/>
      </c>
      <c r="N48" s="26">
        <f>SUM(B48:M48)</f>
        <v/>
      </c>
      <c r="O48" s="15" t="inlineStr">
        <is>
          <t>Net revenue minus variable costs — what remains to cover fixed overhead; negative until scale</t>
        </is>
      </c>
    </row>
    <row r="49" ht="15" customHeight="1">
      <c r="A49" s="16" t="inlineStr">
        <is>
          <t xml:space="preserve">    Gross margin %</t>
        </is>
      </c>
      <c r="B49" s="29">
        <f>IF(B37&lt;&gt;0,B48/B37,0)</f>
        <v/>
      </c>
      <c r="C49" s="29">
        <f>IF(C37&lt;&gt;0,C48/C37,0)</f>
        <v/>
      </c>
      <c r="D49" s="29">
        <f>IF(D37&lt;&gt;0,D48/D37,0)</f>
        <v/>
      </c>
      <c r="E49" s="29">
        <f>IF(E37&lt;&gt;0,E48/E37,0)</f>
        <v/>
      </c>
      <c r="F49" s="29">
        <f>IF(F37&lt;&gt;0,F48/F37,0)</f>
        <v/>
      </c>
      <c r="G49" s="29">
        <f>IF(G37&lt;&gt;0,G48/G37,0)</f>
        <v/>
      </c>
      <c r="H49" s="29">
        <f>IF(H37&lt;&gt;0,H48/H37,0)</f>
        <v/>
      </c>
      <c r="I49" s="29">
        <f>IF(I37&lt;&gt;0,I48/I37,0)</f>
        <v/>
      </c>
      <c r="J49" s="29">
        <f>IF(J37&lt;&gt;0,J48/J37,0)</f>
        <v/>
      </c>
      <c r="K49" s="29">
        <f>IF(K37&lt;&gt;0,K48/K37,0)</f>
        <v/>
      </c>
      <c r="L49" s="29">
        <f>IF(L37&lt;&gt;0,L48/L37,0)</f>
        <v/>
      </c>
      <c r="M49" s="29">
        <f>IF(M37&lt;&gt;0,M48/M37,0)</f>
        <v/>
      </c>
      <c r="N49" s="29">
        <f>SUM(B49:M49)</f>
        <v/>
      </c>
      <c r="O49" s="15" t="inlineStr">
        <is>
          <t>Gross margin % = gross profit ÷ net revenue; should reach 50%+ at sustainable scale</t>
        </is>
      </c>
    </row>
    <row r="50" ht="5" customHeight="1"/>
    <row r="51" ht="16" customHeight="1">
      <c r="A51" s="27" t="inlineStr">
        <is>
          <t xml:space="preserve">  FIXED COSTS  (same every month regardless of user count)</t>
        </is>
      </c>
      <c r="O51" s="15" t="inlineStr"/>
    </row>
    <row r="52" ht="15" customHeight="1">
      <c r="A52" s="16" t="inlineStr">
        <is>
          <t xml:space="preserve">    Your time — Jane's labor</t>
        </is>
      </c>
      <c r="B52" s="25">
        <f>$B$17*$B$18*(52/12)</f>
        <v/>
      </c>
      <c r="C52" s="25">
        <f>$B$17*$B$18*(52/12)</f>
        <v/>
      </c>
      <c r="D52" s="25">
        <f>$B$17*$B$18*(52/12)</f>
        <v/>
      </c>
      <c r="E52" s="25">
        <f>$B$17*$B$18*(52/12)</f>
        <v/>
      </c>
      <c r="F52" s="25">
        <f>$B$17*$B$18*(52/12)</f>
        <v/>
      </c>
      <c r="G52" s="25">
        <f>$B$17*$B$18*(52/12)</f>
        <v/>
      </c>
      <c r="H52" s="25">
        <f>$B$17*$B$18*(52/12)</f>
        <v/>
      </c>
      <c r="I52" s="25">
        <f>$B$17*$B$18*(52/12)</f>
        <v/>
      </c>
      <c r="J52" s="25">
        <f>$B$17*$B$18*(52/12)</f>
        <v/>
      </c>
      <c r="K52" s="25">
        <f>$B$17*$B$18*(52/12)</f>
        <v/>
      </c>
      <c r="L52" s="25">
        <f>$B$17*$B$18*(52/12)</f>
        <v/>
      </c>
      <c r="M52" s="25">
        <f>$B$17*$B$18*(52/12)</f>
        <v/>
      </c>
      <c r="N52" s="25">
        <f>SUM(B52:M52)</f>
        <v/>
      </c>
      <c r="O52" s="15" t="inlineStr">
        <is>
          <t>9 hrs/week × 4.33 wks/month × $15/hr ≈ $585/month — your single largest cost; improves per-user as scale grows</t>
        </is>
      </c>
    </row>
    <row r="53" ht="15" customHeight="1">
      <c r="A53" s="16" t="inlineStr">
        <is>
          <t xml:space="preserve">    Base infrastructure (server + database)</t>
        </is>
      </c>
      <c r="B53" s="25">
        <f>$B$21</f>
        <v/>
      </c>
      <c r="C53" s="25">
        <f>$B$21</f>
        <v/>
      </c>
      <c r="D53" s="25">
        <f>$B$21</f>
        <v/>
      </c>
      <c r="E53" s="25">
        <f>$B$21</f>
        <v/>
      </c>
      <c r="F53" s="25">
        <f>$B$21</f>
        <v/>
      </c>
      <c r="G53" s="25">
        <f>$B$21</f>
        <v/>
      </c>
      <c r="H53" s="25">
        <f>$B$21</f>
        <v/>
      </c>
      <c r="I53" s="25">
        <f>$B$21</f>
        <v/>
      </c>
      <c r="J53" s="25">
        <f>$B$21</f>
        <v/>
      </c>
      <c r="K53" s="25">
        <f>$B$21</f>
        <v/>
      </c>
      <c r="L53" s="25">
        <f>$B$21</f>
        <v/>
      </c>
      <c r="M53" s="25">
        <f>$B$21</f>
        <v/>
      </c>
      <c r="N53" s="25">
        <f>SUM(B53:M53)</f>
        <v/>
      </c>
      <c r="O53" s="15" t="inlineStr">
        <is>
          <t>AWS server + database — largely fixed until ~1,000 users; $70/month regardless of user count</t>
        </is>
      </c>
    </row>
    <row r="54" ht="15" customHeight="1">
      <c r="A54" s="16" t="inlineStr">
        <is>
          <t xml:space="preserve">    Legal / compliance (amortized)</t>
        </is>
      </c>
      <c r="B54" s="25">
        <f>$B$22</f>
        <v/>
      </c>
      <c r="C54" s="25">
        <f>$B$22</f>
        <v/>
      </c>
      <c r="D54" s="25">
        <f>$B$22</f>
        <v/>
      </c>
      <c r="E54" s="25">
        <f>$B$22</f>
        <v/>
      </c>
      <c r="F54" s="25">
        <f>$B$22</f>
        <v/>
      </c>
      <c r="G54" s="25">
        <f>$B$22</f>
        <v/>
      </c>
      <c r="H54" s="25">
        <f>$B$22</f>
        <v/>
      </c>
      <c r="I54" s="25">
        <f>$B$22</f>
        <v/>
      </c>
      <c r="J54" s="25">
        <f>$B$22</f>
        <v/>
      </c>
      <c r="K54" s="25">
        <f>$B$22</f>
        <v/>
      </c>
      <c r="L54" s="25">
        <f>$B$22</f>
        <v/>
      </c>
      <c r="M54" s="25">
        <f>$B$22</f>
        <v/>
      </c>
      <c r="N54" s="25">
        <f>SUM(B54:M54)</f>
        <v/>
      </c>
      <c r="O54" s="15" t="inlineStr">
        <is>
          <t>Privacy policy + TOS legal review amortized across year 1; GDPR/CCPA compliance setup</t>
        </is>
      </c>
    </row>
    <row r="55" ht="15" customHeight="1">
      <c r="A55" s="16" t="inlineStr">
        <is>
          <t xml:space="preserve">    Insurance — cyber + general + E&amp;O</t>
        </is>
      </c>
      <c r="B55" s="25">
        <f>$B$19</f>
        <v/>
      </c>
      <c r="C55" s="25">
        <f>$B$19</f>
        <v/>
      </c>
      <c r="D55" s="25">
        <f>$B$19</f>
        <v/>
      </c>
      <c r="E55" s="25">
        <f>$B$19</f>
        <v/>
      </c>
      <c r="F55" s="25">
        <f>$B$19</f>
        <v/>
      </c>
      <c r="G55" s="25">
        <f>$B$19</f>
        <v/>
      </c>
      <c r="H55" s="25">
        <f>$B$19</f>
        <v/>
      </c>
      <c r="I55" s="25">
        <f>$B$19</f>
        <v/>
      </c>
      <c r="J55" s="25">
        <f>$B$19</f>
        <v/>
      </c>
      <c r="K55" s="25">
        <f>$B$19</f>
        <v/>
      </c>
      <c r="L55" s="25">
        <f>$B$19</f>
        <v/>
      </c>
      <c r="M55" s="25">
        <f>$B$19</f>
        <v/>
      </c>
      <c r="N55" s="25">
        <f>SUM(B55:M55)</f>
        <v/>
      </c>
      <c r="O55" s="15" t="inlineStr">
        <is>
          <t>Cyber liability (photo data), general liability, professional liability (E&amp;O for advice product) — required</t>
        </is>
      </c>
    </row>
    <row r="56" ht="15" customHeight="1">
      <c r="A56" s="16" t="inlineStr">
        <is>
          <t xml:space="preserve">    Software tools + LLC fees</t>
        </is>
      </c>
      <c r="B56" s="25">
        <f>$B$20</f>
        <v/>
      </c>
      <c r="C56" s="25">
        <f>$B$20</f>
        <v/>
      </c>
      <c r="D56" s="25">
        <f>$B$20</f>
        <v/>
      </c>
      <c r="E56" s="25">
        <f>$B$20</f>
        <v/>
      </c>
      <c r="F56" s="25">
        <f>$B$20</f>
        <v/>
      </c>
      <c r="G56" s="25">
        <f>$B$20</f>
        <v/>
      </c>
      <c r="H56" s="25">
        <f>$B$20</f>
        <v/>
      </c>
      <c r="I56" s="25">
        <f>$B$20</f>
        <v/>
      </c>
      <c r="J56" s="25">
        <f>$B$20</f>
        <v/>
      </c>
      <c r="K56" s="25">
        <f>$B$20</f>
        <v/>
      </c>
      <c r="L56" s="25">
        <f>$B$20</f>
        <v/>
      </c>
      <c r="M56" s="25">
        <f>$B$20</f>
        <v/>
      </c>
      <c r="N56" s="25">
        <f>SUM(B56:M56)</f>
        <v/>
      </c>
      <c r="O56" s="15" t="inlineStr">
        <is>
          <t>Domain name, Figma design tool, LLC annual state filing fees — previously missing from model</t>
        </is>
      </c>
    </row>
    <row r="57" ht="15" customHeight="1">
      <c r="A57" s="27" t="inlineStr">
        <is>
          <t>TOTAL FIXED COSTS</t>
        </is>
      </c>
      <c r="B57" s="28">
        <f>SUM(B52:B56)</f>
        <v/>
      </c>
      <c r="C57" s="28">
        <f>SUM(C52:C56)</f>
        <v/>
      </c>
      <c r="D57" s="28">
        <f>SUM(D52:D56)</f>
        <v/>
      </c>
      <c r="E57" s="28">
        <f>SUM(E52:E56)</f>
        <v/>
      </c>
      <c r="F57" s="28">
        <f>SUM(F52:F56)</f>
        <v/>
      </c>
      <c r="G57" s="28">
        <f>SUM(G52:G56)</f>
        <v/>
      </c>
      <c r="H57" s="28">
        <f>SUM(H52:H56)</f>
        <v/>
      </c>
      <c r="I57" s="28">
        <f>SUM(I52:I56)</f>
        <v/>
      </c>
      <c r="J57" s="28">
        <f>SUM(J52:J56)</f>
        <v/>
      </c>
      <c r="K57" s="28">
        <f>SUM(K52:K56)</f>
        <v/>
      </c>
      <c r="L57" s="28">
        <f>SUM(L52:L56)</f>
        <v/>
      </c>
      <c r="M57" s="28">
        <f>SUM(M52:M56)</f>
        <v/>
      </c>
      <c r="N57" s="28">
        <f>SUM(B57:M57)</f>
        <v/>
      </c>
      <c r="O57" s="15" t="inlineStr">
        <is>
          <t>Monthly overhead that exists regardless of whether you have 1 or 1,000 users</t>
        </is>
      </c>
    </row>
    <row r="58" ht="5" customHeight="1"/>
    <row r="59" ht="16" customHeight="1">
      <c r="A59" s="30" t="inlineStr">
        <is>
          <t xml:space="preserve">  OPERATING RESULT</t>
        </is>
      </c>
      <c r="O59" s="15" t="inlineStr"/>
    </row>
    <row r="60" ht="15" customHeight="1">
      <c r="A60" s="20" t="inlineStr">
        <is>
          <t>Total operating costs</t>
        </is>
      </c>
      <c r="B60" s="31">
        <f>B45+B57</f>
        <v/>
      </c>
      <c r="C60" s="31">
        <f>C45+C57</f>
        <v/>
      </c>
      <c r="D60" s="31">
        <f>D45+D57</f>
        <v/>
      </c>
      <c r="E60" s="31">
        <f>E45+E57</f>
        <v/>
      </c>
      <c r="F60" s="31">
        <f>F45+F57</f>
        <v/>
      </c>
      <c r="G60" s="31">
        <f>G45+G57</f>
        <v/>
      </c>
      <c r="H60" s="31">
        <f>H45+H57</f>
        <v/>
      </c>
      <c r="I60" s="31">
        <f>I45+I57</f>
        <v/>
      </c>
      <c r="J60" s="31">
        <f>J45+J57</f>
        <v/>
      </c>
      <c r="K60" s="31">
        <f>K45+K57</f>
        <v/>
      </c>
      <c r="L60" s="31">
        <f>L45+L57</f>
        <v/>
      </c>
      <c r="M60" s="31">
        <f>M45+M57</f>
        <v/>
      </c>
      <c r="N60" s="31">
        <f>SUM(B60:M60)</f>
        <v/>
      </c>
      <c r="O60" s="15" t="inlineStr">
        <is>
          <t>Total cash out the door each month: variable (scales with users) + fixed (always there)</t>
        </is>
      </c>
    </row>
    <row r="61" ht="15" customHeight="1">
      <c r="A61" s="30" t="inlineStr">
        <is>
          <t>OPERATING INCOME (LOSS)</t>
        </is>
      </c>
      <c r="B61" s="32">
        <f>B37-B60</f>
        <v/>
      </c>
      <c r="C61" s="32">
        <f>C37-C60</f>
        <v/>
      </c>
      <c r="D61" s="32">
        <f>D37-D60</f>
        <v/>
      </c>
      <c r="E61" s="32">
        <f>E37-E60</f>
        <v/>
      </c>
      <c r="F61" s="32">
        <f>F37-F60</f>
        <v/>
      </c>
      <c r="G61" s="32">
        <f>G37-G60</f>
        <v/>
      </c>
      <c r="H61" s="32">
        <f>H37-H60</f>
        <v/>
      </c>
      <c r="I61" s="32">
        <f>I37-I60</f>
        <v/>
      </c>
      <c r="J61" s="32">
        <f>J37-J60</f>
        <v/>
      </c>
      <c r="K61" s="32">
        <f>K37-K60</f>
        <v/>
      </c>
      <c r="L61" s="32">
        <f>L37-L60</f>
        <v/>
      </c>
      <c r="M61" s="32">
        <f>M37-M60</f>
        <v/>
      </c>
      <c r="N61" s="32">
        <f>SUM(B61:M61)</f>
        <v/>
      </c>
      <c r="O61" s="15" t="inlineStr">
        <is>
          <t>Net revenue − total costs; negative = burning cash this month; watch the trend, not just the number</t>
        </is>
      </c>
    </row>
    <row r="62" ht="15" customHeight="1">
      <c r="A62" s="20" t="inlineStr">
        <is>
          <t>Cumulative cash position</t>
        </is>
      </c>
      <c r="B62" s="33">
        <f>B61</f>
        <v/>
      </c>
      <c r="C62" s="33">
        <f>B62+C61</f>
        <v/>
      </c>
      <c r="D62" s="33">
        <f>C62+D61</f>
        <v/>
      </c>
      <c r="E62" s="33">
        <f>D62+E61</f>
        <v/>
      </c>
      <c r="F62" s="33">
        <f>E62+F61</f>
        <v/>
      </c>
      <c r="G62" s="33">
        <f>F62+G61</f>
        <v/>
      </c>
      <c r="H62" s="33">
        <f>G62+H61</f>
        <v/>
      </c>
      <c r="I62" s="33">
        <f>H62+I61</f>
        <v/>
      </c>
      <c r="J62" s="33">
        <f>I62+J61</f>
        <v/>
      </c>
      <c r="K62" s="33">
        <f>J62+K61</f>
        <v/>
      </c>
      <c r="L62" s="33">
        <f>K62+L61</f>
        <v/>
      </c>
      <c r="M62" s="33">
        <f>L62+M61</f>
        <v/>
      </c>
      <c r="N62" s="33">
        <f>M62</f>
        <v/>
      </c>
      <c r="O62" s="15" t="inlineStr">
        <is>
          <t>Running total of cash position — shows how much funding you need to reach break-even</t>
        </is>
      </c>
    </row>
    <row r="63" ht="5" customHeight="1"/>
    <row r="64" ht="16" customHeight="1">
      <c r="A64" s="3" t="inlineStr">
        <is>
          <t xml:space="preserve">  UNIT ECONOMICS  (per paying customer per month)</t>
        </is>
      </c>
      <c r="O64" s="15" t="inlineStr"/>
    </row>
    <row r="65" ht="15" customHeight="1">
      <c r="A65" s="16" t="inlineStr">
        <is>
          <t xml:space="preserve">    Revenue per paying customer</t>
        </is>
      </c>
      <c r="B65" s="24">
        <f>IF(B31&gt;0,B35/B31,0)</f>
        <v/>
      </c>
      <c r="C65" s="24">
        <f>IF(C31&gt;0,C35/C31,0)</f>
        <v/>
      </c>
      <c r="D65" s="24">
        <f>IF(D31&gt;0,D35/D31,0)</f>
        <v/>
      </c>
      <c r="E65" s="24">
        <f>IF(E31&gt;0,E35/E31,0)</f>
        <v/>
      </c>
      <c r="F65" s="24">
        <f>IF(F31&gt;0,F35/F31,0)</f>
        <v/>
      </c>
      <c r="G65" s="24">
        <f>IF(G31&gt;0,G35/G31,0)</f>
        <v/>
      </c>
      <c r="H65" s="24">
        <f>IF(H31&gt;0,H35/H31,0)</f>
        <v/>
      </c>
      <c r="I65" s="24">
        <f>IF(I31&gt;0,I35/I31,0)</f>
        <v/>
      </c>
      <c r="J65" s="24">
        <f>IF(J31&gt;0,J35/J31,0)</f>
        <v/>
      </c>
      <c r="K65" s="24">
        <f>IF(K31&gt;0,K35/K31,0)</f>
        <v/>
      </c>
      <c r="L65" s="24">
        <f>IF(L31&gt;0,L35/L31,0)</f>
        <v/>
      </c>
      <c r="M65" s="24">
        <f>IF(M31&gt;0,M35/M31,0)</f>
        <v/>
      </c>
      <c r="N65" s="24">
        <f>SUM(B65:M65)</f>
        <v/>
      </c>
      <c r="O65" s="15">
        <f> price; shown here so you can compare revenue vs. cost on same row</f>
        <v/>
      </c>
    </row>
    <row r="66" ht="15" customHeight="1">
      <c r="A66" s="16" t="inlineStr">
        <is>
          <t xml:space="preserve">    Variable cost per paying customer</t>
        </is>
      </c>
      <c r="B66" s="25">
        <f>IF(B31&gt;0,B45/B31,0)</f>
        <v/>
      </c>
      <c r="C66" s="25">
        <f>IF(C31&gt;0,C45/C31,0)</f>
        <v/>
      </c>
      <c r="D66" s="25">
        <f>IF(D31&gt;0,D45/D31,0)</f>
        <v/>
      </c>
      <c r="E66" s="25">
        <f>IF(E31&gt;0,E45/E31,0)</f>
        <v/>
      </c>
      <c r="F66" s="25">
        <f>IF(F31&gt;0,F45/F31,0)</f>
        <v/>
      </c>
      <c r="G66" s="25">
        <f>IF(G31&gt;0,G45/G31,0)</f>
        <v/>
      </c>
      <c r="H66" s="25">
        <f>IF(H31&gt;0,H45/H31,0)</f>
        <v/>
      </c>
      <c r="I66" s="25">
        <f>IF(I31&gt;0,I45/I31,0)</f>
        <v/>
      </c>
      <c r="J66" s="25">
        <f>IF(J31&gt;0,J45/J31,0)</f>
        <v/>
      </c>
      <c r="K66" s="25">
        <f>IF(K31&gt;0,K45/K31,0)</f>
        <v/>
      </c>
      <c r="L66" s="25">
        <f>IF(L31&gt;0,L45/L31,0)</f>
        <v/>
      </c>
      <c r="M66" s="25">
        <f>IF(M31&gt;0,M45/M31,0)</f>
        <v/>
      </c>
      <c r="N66" s="34" t="inlineStr"/>
      <c r="O66" s="15" t="inlineStr">
        <is>
          <t>Variable costs ÷ paying subscribers; shows direct cost of serving one paying user this month</t>
        </is>
      </c>
    </row>
    <row r="67" ht="15" customHeight="1">
      <c r="A67" s="20" t="inlineStr">
        <is>
          <t>Contribution margin per customer</t>
        </is>
      </c>
      <c r="B67" s="26">
        <f>IF(B31&gt;0,(B37-B45)/B31,0)</f>
        <v/>
      </c>
      <c r="C67" s="26">
        <f>IF(C31&gt;0,(C37-C45)/C31,0)</f>
        <v/>
      </c>
      <c r="D67" s="26">
        <f>IF(D31&gt;0,(D37-D45)/D31,0)</f>
        <v/>
      </c>
      <c r="E67" s="26">
        <f>IF(E31&gt;0,(E37-E45)/E31,0)</f>
        <v/>
      </c>
      <c r="F67" s="26">
        <f>IF(F31&gt;0,(F37-F45)/F31,0)</f>
        <v/>
      </c>
      <c r="G67" s="26">
        <f>IF(G31&gt;0,(G37-G45)/G31,0)</f>
        <v/>
      </c>
      <c r="H67" s="26">
        <f>IF(H31&gt;0,(H37-H45)/H31,0)</f>
        <v/>
      </c>
      <c r="I67" s="26">
        <f>IF(I31&gt;0,(I37-I45)/I31,0)</f>
        <v/>
      </c>
      <c r="J67" s="26">
        <f>IF(J31&gt;0,(J37-J45)/J31,0)</f>
        <v/>
      </c>
      <c r="K67" s="26">
        <f>IF(K31&gt;0,(K37-K45)/K31,0)</f>
        <v/>
      </c>
      <c r="L67" s="26">
        <f>IF(L31&gt;0,(L37-L45)/L31,0)</f>
        <v/>
      </c>
      <c r="M67" s="26">
        <f>IF(M31&gt;0,(M37-M45)/M31,0)</f>
        <v/>
      </c>
      <c r="N67" s="35" t="inlineStr"/>
      <c r="O67" s="15" t="inlineStr">
        <is>
          <t>Revenue per customer minus variable cost per customer; contribution toward fixed costs</t>
        </is>
      </c>
    </row>
    <row r="68" ht="15" customHeight="1">
      <c r="A68" s="16" t="inlineStr">
        <is>
          <t xml:space="preserve">    Contribution margin %</t>
        </is>
      </c>
      <c r="B68" s="29">
        <f>IF(B65&lt;&gt;0,B67/B65,0)</f>
        <v/>
      </c>
      <c r="C68" s="29">
        <f>IF(C65&lt;&gt;0,C67/C65,0)</f>
        <v/>
      </c>
      <c r="D68" s="29">
        <f>IF(D65&lt;&gt;0,D67/D65,0)</f>
        <v/>
      </c>
      <c r="E68" s="29">
        <f>IF(E65&lt;&gt;0,E67/E65,0)</f>
        <v/>
      </c>
      <c r="F68" s="29">
        <f>IF(F65&lt;&gt;0,F67/F65,0)</f>
        <v/>
      </c>
      <c r="G68" s="29">
        <f>IF(G65&lt;&gt;0,G67/G65,0)</f>
        <v/>
      </c>
      <c r="H68" s="29">
        <f>IF(H65&lt;&gt;0,H67/H65,0)</f>
        <v/>
      </c>
      <c r="I68" s="29">
        <f>IF(I65&lt;&gt;0,I67/I65,0)</f>
        <v/>
      </c>
      <c r="J68" s="29">
        <f>IF(J65&lt;&gt;0,J67/J65,0)</f>
        <v/>
      </c>
      <c r="K68" s="29">
        <f>IF(K65&lt;&gt;0,K67/K65,0)</f>
        <v/>
      </c>
      <c r="L68" s="29">
        <f>IF(L65&lt;&gt;0,L67/L65,0)</f>
        <v/>
      </c>
      <c r="M68" s="29">
        <f>IF(M65&lt;&gt;0,M67/M65,0)</f>
        <v/>
      </c>
      <c r="N68" s="29" t="inlineStr"/>
      <c r="O68" s="15" t="inlineStr">
        <is>
          <t>What % of each revenue dollar survives after variable costs — must be high enough to cover fixed costs</t>
        </is>
      </c>
    </row>
  </sheetData>
  <mergeCells count="29">
    <mergeCell ref="A25:O25"/>
    <mergeCell ref="A39:N39"/>
    <mergeCell ref="A34:N34"/>
    <mergeCell ref="D11:O11"/>
    <mergeCell ref="D13:O13"/>
    <mergeCell ref="A64:N64"/>
    <mergeCell ref="A59:N59"/>
    <mergeCell ref="A51:N51"/>
    <mergeCell ref="D17:O17"/>
    <mergeCell ref="D7:O7"/>
    <mergeCell ref="D16:O16"/>
    <mergeCell ref="A2:O2"/>
    <mergeCell ref="D18:O18"/>
    <mergeCell ref="D9:O9"/>
    <mergeCell ref="A4:O4"/>
    <mergeCell ref="D12:O12"/>
    <mergeCell ref="D8:O8"/>
    <mergeCell ref="A27:N27"/>
    <mergeCell ref="D15:O15"/>
    <mergeCell ref="D5:O5"/>
    <mergeCell ref="D14:O14"/>
    <mergeCell ref="A47:N47"/>
    <mergeCell ref="D20:O20"/>
    <mergeCell ref="D10:O10"/>
    <mergeCell ref="D19:O19"/>
    <mergeCell ref="A1:O1"/>
    <mergeCell ref="D22:O22"/>
    <mergeCell ref="D21:O21"/>
    <mergeCell ref="D6:O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" customWidth="1" min="14" max="14"/>
    <col width="62" customWidth="1" min="15" max="15"/>
  </cols>
  <sheetData>
    <row r="1" ht="28" customHeight="1">
      <c r="A1" s="1" t="inlineStr">
        <is>
          <t>AI Styling App — Year 1 Financial Model (Optimistic Scenario)</t>
        </is>
      </c>
    </row>
    <row r="2" ht="16" customHeight="1">
      <c r="A2" s="2" t="inlineStr">
        <is>
          <t>BUS 395  |  Jane Dias  |  Word of mouth · 20% conversion · 10% monthly churn · $9/month validated price</t>
        </is>
      </c>
    </row>
    <row r="3" ht="8" customHeight="1"/>
    <row r="4" ht="18" customHeight="1">
      <c r="A4" s="3" t="inlineStr">
        <is>
          <t>ASSUMPTIONS  —  Change values in yellow cells to model different scenarios. All other cells are formula-driven.</t>
        </is>
      </c>
    </row>
    <row r="5" ht="15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Note — [GROUNDED]=from data · [ESTIMATE]=benchmark · [ASSUMPTION]=untested</t>
        </is>
      </c>
    </row>
    <row r="6" ht="15" customHeight="1">
      <c r="A6" s="5" t="inlineStr">
        <is>
          <t>Subscription price</t>
        </is>
      </c>
      <c r="B6" s="6" t="n">
        <v>9</v>
      </c>
      <c r="C6" s="7" t="inlineStr">
        <is>
          <t>$/month</t>
        </is>
      </c>
      <c r="D6" s="8" t="inlineStr">
        <is>
          <t>ASSUMPTION — $9/month validated via Van Westendorp with Mya and Aly; sits within $8–13 competitive range; $2 higher than base adds $2/user directly to contribution margin</t>
        </is>
      </c>
    </row>
    <row r="7" ht="15" customHeight="1">
      <c r="A7" s="5" t="inlineStr">
        <is>
          <t>Stripe processing fee (%)</t>
        </is>
      </c>
      <c r="B7" s="9" t="n">
        <v>0.029</v>
      </c>
      <c r="C7" s="7" t="inlineStr">
        <is>
          <t>%</t>
        </is>
      </c>
      <c r="D7" s="8" t="inlineStr">
        <is>
          <t>GROUNDED — Stripe published pricing (2.9%)</t>
        </is>
      </c>
    </row>
    <row r="8" ht="15" customHeight="1">
      <c r="A8" s="5" t="inlineStr">
        <is>
          <t>Stripe processing fee (fixed)</t>
        </is>
      </c>
      <c r="B8" s="6" t="n">
        <v>0.3</v>
      </c>
      <c r="C8" s="7" t="inlineStr">
        <is>
          <t>$/transaction</t>
        </is>
      </c>
      <c r="D8" s="8" t="inlineStr">
        <is>
          <t>GROUNDED — Stripe published pricing ($0.30 per charge)</t>
        </is>
      </c>
    </row>
    <row r="9" ht="15" customHeight="1">
      <c r="A9" s="5" t="inlineStr">
        <is>
          <t>Trial-to-paid conversion rate</t>
        </is>
      </c>
      <c r="B9" s="9" t="n">
        <v>0.2</v>
      </c>
      <c r="C9" s="7" t="inlineStr">
        <is>
          <t>%</t>
        </is>
      </c>
      <c r="D9" s="8" t="inlineStr">
        <is>
          <t>ASSUMPTION — 20% conversion; trial experience is compelling, product-market fit is strong; this is the upper bound of typical SaaS trial conversion</t>
        </is>
      </c>
    </row>
    <row r="10" ht="15" customHeight="1">
      <c r="A10" s="5" t="inlineStr">
        <is>
          <t>Monthly subscriber churn rate</t>
        </is>
      </c>
      <c r="B10" s="9" t="n">
        <v>0.1</v>
      </c>
      <c r="C10" s="7" t="inlineStr">
        <is>
          <t>%</t>
        </is>
      </c>
      <c r="D10" s="8" t="inlineStr">
        <is>
          <t>ASSUMPTION — 10% monthly churn; implies ~10-month avg retention; low churn is the primary driver of this scenario</t>
        </is>
      </c>
    </row>
    <row r="11" ht="15" customHeight="1">
      <c r="A11" s="5" t="inlineStr">
        <is>
          <t>LLM inference cost per photo</t>
        </is>
      </c>
      <c r="B11" s="6" t="n">
        <v>0.03</v>
      </c>
      <c r="C11" s="7" t="inlineStr">
        <is>
          <t>$/photo</t>
        </is>
      </c>
      <c r="D11" s="8" t="inlineStr">
        <is>
          <t>ESTIMATE — based on Claude Sonnet token pricing (~$0.027 computed from token rates)</t>
        </is>
      </c>
    </row>
    <row r="12" ht="15" customHeight="1">
      <c r="A12" s="5" t="inlineStr">
        <is>
          <t>Photos per paying user per month</t>
        </is>
      </c>
      <c r="B12" s="10" t="n">
        <v>43</v>
      </c>
      <c r="C12" s="7" t="inlineStr">
        <is>
          <t>photos</t>
        </is>
      </c>
      <c r="D12" s="8" t="inlineStr">
        <is>
          <t>ASSUMPTION — 2 shopping trips (15 photos each) + outfit checks + events; ask in next interviews</t>
        </is>
      </c>
    </row>
    <row r="13" ht="15" customHeight="1">
      <c r="A13" s="5" t="inlineStr">
        <is>
          <t>Photos per free trial session</t>
        </is>
      </c>
      <c r="B13" s="10" t="n">
        <v>5</v>
      </c>
      <c r="C13" s="7" t="inlineStr">
        <is>
          <t>photos</t>
        </is>
      </c>
      <c r="D13" s="8" t="inlineStr">
        <is>
          <t>ASSUMPTION — ask 5 users to count photos on next shopping trip</t>
        </is>
      </c>
    </row>
    <row r="14" ht="15" customHeight="1">
      <c r="A14" s="5" t="inlineStr">
        <is>
          <t>Sessions in free trial period</t>
        </is>
      </c>
      <c r="B14" s="10" t="n">
        <v>8</v>
      </c>
      <c r="C14" s="7" t="inlineStr">
        <is>
          <t>sessions</t>
        </is>
      </c>
      <c r="D14" s="8" t="inlineStr">
        <is>
          <t>Product design decision</t>
        </is>
      </c>
    </row>
    <row r="15" ht="15" customHeight="1">
      <c r="A15" s="5" t="inlineStr">
        <is>
          <t>Variable infrastructure per active user</t>
        </is>
      </c>
      <c r="B15" s="6" t="n">
        <v>0.2</v>
      </c>
      <c r="C15" s="7" t="inlineStr">
        <is>
          <t>$/user/month</t>
        </is>
      </c>
      <c r="D15" s="8" t="inlineStr">
        <is>
          <t>ESTIMATE — some infrastructure optimization achieved by month 4; $0.20 vs base $0.25 per active user</t>
        </is>
      </c>
    </row>
    <row r="16" ht="15" customHeight="1">
      <c r="A16" s="5" t="inlineStr">
        <is>
          <t>Refund &amp; chargeback rate</t>
        </is>
      </c>
      <c r="B16" s="9" t="n">
        <v>0.01</v>
      </c>
      <c r="C16" s="7" t="inlineStr">
        <is>
          <t>% of gross</t>
        </is>
      </c>
      <c r="D16" s="8" t="inlineStr">
        <is>
          <t>ASSUMPTION — 1% refund/chargeback rate; satisfied subscribers rarely dispute; strong fit means low regret purchases</t>
        </is>
      </c>
    </row>
    <row r="17" ht="15" customHeight="1">
      <c r="A17" s="5" t="inlineStr">
        <is>
          <t>Your hourly rate</t>
        </is>
      </c>
      <c r="B17" s="6" t="n">
        <v>15</v>
      </c>
      <c r="C17" s="7" t="inlineStr">
        <is>
          <t>$/hour</t>
        </is>
      </c>
      <c r="D17" s="8" t="inlineStr">
        <is>
          <t>Per course instruction</t>
        </is>
      </c>
    </row>
    <row r="18" ht="15" customHeight="1">
      <c r="A18" s="5" t="inlineStr">
        <is>
          <t>Hours worked per week (all activities)</t>
        </is>
      </c>
      <c r="B18" s="10" t="n">
        <v>7</v>
      </c>
      <c r="C18" s="7" t="inlineStr">
        <is>
          <t>hrs/week</t>
        </is>
      </c>
      <c r="D18" s="8" t="inlineStr">
        <is>
          <t>ASSUMPTION — 7 hrs/week; product runs smoothly, lower support burden; fewer edge cases to debug</t>
        </is>
      </c>
    </row>
    <row r="19" ht="15" customHeight="1">
      <c r="A19" s="5" t="inlineStr">
        <is>
          <t>Insurance — cyber + general + E&amp;O</t>
        </is>
      </c>
      <c r="B19" s="6" t="n">
        <v>165</v>
      </c>
      <c r="C19" s="7" t="inlineStr">
        <is>
          <t>$/month</t>
        </is>
      </c>
      <c r="D19" s="8" t="inlineStr">
        <is>
          <t>ESTIMATE — midpoint $130–200; cyber required for app storing user photos</t>
        </is>
      </c>
    </row>
    <row r="20" ht="15" customHeight="1">
      <c r="A20" s="5" t="inlineStr">
        <is>
          <t>Software tools + LLC annual fees</t>
        </is>
      </c>
      <c r="B20" s="6" t="n">
        <v>33</v>
      </c>
      <c r="C20" s="7" t="inlineStr">
        <is>
          <t>$/month</t>
        </is>
      </c>
      <c r="D20" s="8" t="inlineStr">
        <is>
          <t>ESTIMATE — domain $1.25 + Figma $15 + LLC annual filing ~$15/mo</t>
        </is>
      </c>
    </row>
    <row r="21" ht="15" customHeight="1">
      <c r="A21" s="5" t="inlineStr">
        <is>
          <t>Base infrastructure (server + DB)</t>
        </is>
      </c>
      <c r="B21" s="6" t="n">
        <v>70</v>
      </c>
      <c r="C21" s="7" t="inlineStr">
        <is>
          <t>$/month</t>
        </is>
      </c>
      <c r="D21" s="8" t="inlineStr">
        <is>
          <t>ESTIMATE — AWS t3.medium + RDS t3.micro; fixed until ~1,000 users</t>
        </is>
      </c>
    </row>
    <row r="22" ht="15" customHeight="1">
      <c r="A22" s="5" t="inlineStr">
        <is>
          <t>Legal / compliance (amortized)</t>
        </is>
      </c>
      <c r="B22" s="6" t="n">
        <v>75</v>
      </c>
      <c r="C22" s="7" t="inlineStr">
        <is>
          <t>$/month</t>
        </is>
      </c>
      <c r="D22" s="8" t="inlineStr">
        <is>
          <t>ESTIMATE — TOS + privacy policy legal review amortized over year 1</t>
        </is>
      </c>
    </row>
    <row r="23" ht="8" customHeight="1"/>
    <row r="24" ht="8" customHeight="1"/>
    <row r="25" ht="22" customHeight="1">
      <c r="A25" s="11" t="inlineStr">
        <is>
          <t>OPTIMISTIC SCENARIO — MONTHLY PROJECTION  (Year 1)</t>
        </is>
      </c>
    </row>
    <row r="26" ht="18" customHeight="1">
      <c r="A26" s="12" t="inlineStr">
        <is>
          <t>Line Item</t>
        </is>
      </c>
      <c r="B26" s="13" t="inlineStr">
        <is>
          <t>Month 1</t>
        </is>
      </c>
      <c r="C26" s="13" t="inlineStr">
        <is>
          <t>Month 2</t>
        </is>
      </c>
      <c r="D26" s="13" t="inlineStr">
        <is>
          <t>Month 3</t>
        </is>
      </c>
      <c r="E26" s="13" t="inlineStr">
        <is>
          <t>Month 4</t>
        </is>
      </c>
      <c r="F26" s="13" t="inlineStr">
        <is>
          <t>Month 5</t>
        </is>
      </c>
      <c r="G26" s="13" t="inlineStr">
        <is>
          <t>Month 6</t>
        </is>
      </c>
      <c r="H26" s="13" t="inlineStr">
        <is>
          <t>Month 7</t>
        </is>
      </c>
      <c r="I26" s="13" t="inlineStr">
        <is>
          <t>Month 8</t>
        </is>
      </c>
      <c r="J26" s="13" t="inlineStr">
        <is>
          <t>Month 9</t>
        </is>
      </c>
      <c r="K26" s="13" t="inlineStr">
        <is>
          <t>Month 10</t>
        </is>
      </c>
      <c r="L26" s="13" t="inlineStr">
        <is>
          <t>Month 11</t>
        </is>
      </c>
      <c r="M26" s="13" t="inlineStr">
        <is>
          <t>Month 12</t>
        </is>
      </c>
      <c r="N26" s="14" t="inlineStr">
        <is>
          <t>Year Total</t>
        </is>
      </c>
      <c r="O26" s="12" t="inlineStr">
        <is>
          <t>Comments</t>
        </is>
      </c>
    </row>
    <row r="27" ht="16" customHeight="1">
      <c r="A27" s="3" t="inlineStr">
        <is>
          <t xml:space="preserve">  CUSTOMER METRICS</t>
        </is>
      </c>
      <c r="O27" s="15" t="inlineStr"/>
    </row>
    <row r="28" ht="15" customHeight="1">
      <c r="A28" s="16" t="inlineStr">
        <is>
          <t xml:space="preserve">    New trial signups (inputs)</t>
        </is>
      </c>
      <c r="B28" s="10" t="n">
        <v>50</v>
      </c>
      <c r="C28" s="10" t="n">
        <v>75</v>
      </c>
      <c r="D28" s="10" t="n">
        <v>110</v>
      </c>
      <c r="E28" s="10" t="n">
        <v>150</v>
      </c>
      <c r="F28" s="10" t="n">
        <v>200</v>
      </c>
      <c r="G28" s="10" t="n">
        <v>255</v>
      </c>
      <c r="H28" s="10" t="n">
        <v>310</v>
      </c>
      <c r="I28" s="10" t="n">
        <v>360</v>
      </c>
      <c r="J28" s="10" t="n">
        <v>395</v>
      </c>
      <c r="K28" s="10" t="n">
        <v>425</v>
      </c>
      <c r="L28" s="10" t="n">
        <v>450</v>
      </c>
      <c r="M28" s="10" t="n">
        <v>475</v>
      </c>
      <c r="N28" s="17">
        <f>SUM(B28:M28)</f>
        <v/>
      </c>
      <c r="O28" s="15" t="inlineStr">
        <is>
          <t>INPUTS (yellow) — change these to model faster or slower growth</t>
        </is>
      </c>
    </row>
    <row r="29" ht="15" customHeight="1">
      <c r="A29" s="16" t="inlineStr">
        <is>
          <t xml:space="preserve">    New paying subscribers (converts)</t>
        </is>
      </c>
      <c r="B29" s="18" t="n">
        <v>0</v>
      </c>
      <c r="C29" s="18">
        <f>B28*$B$9</f>
        <v/>
      </c>
      <c r="D29" s="18">
        <f>C28*$B$9</f>
        <v/>
      </c>
      <c r="E29" s="18">
        <f>D28*$B$9</f>
        <v/>
      </c>
      <c r="F29" s="18">
        <f>E28*$B$9</f>
        <v/>
      </c>
      <c r="G29" s="18">
        <f>F28*$B$9</f>
        <v/>
      </c>
      <c r="H29" s="18">
        <f>G28*$B$9</f>
        <v/>
      </c>
      <c r="I29" s="18">
        <f>H28*$B$9</f>
        <v/>
      </c>
      <c r="J29" s="18">
        <f>I28*$B$9</f>
        <v/>
      </c>
      <c r="K29" s="18">
        <f>J28*$B$9</f>
        <v/>
      </c>
      <c r="L29" s="18">
        <f>K28*$B$9</f>
        <v/>
      </c>
      <c r="M29" s="18">
        <f>L28*$B$9</f>
        <v/>
      </c>
      <c r="N29" s="18">
        <f>SUM(B29:M29)</f>
        <v/>
      </c>
      <c r="O29" s="15" t="inlineStr">
        <is>
          <t>Prior month's trial signups × conversion rate; 1-month lag (users need time to complete 8 sessions)</t>
        </is>
      </c>
    </row>
    <row r="30" ht="15" customHeight="1">
      <c r="A30" s="16" t="inlineStr">
        <is>
          <t xml:space="preserve">    Subscribers lost to churn</t>
        </is>
      </c>
      <c r="B30" s="19" t="n">
        <v>0</v>
      </c>
      <c r="C30" s="19">
        <f>B31*$B$10</f>
        <v/>
      </c>
      <c r="D30" s="19">
        <f>C31*$B$10</f>
        <v/>
      </c>
      <c r="E30" s="19">
        <f>D31*$B$10</f>
        <v/>
      </c>
      <c r="F30" s="19">
        <f>E31*$B$10</f>
        <v/>
      </c>
      <c r="G30" s="19">
        <f>F31*$B$10</f>
        <v/>
      </c>
      <c r="H30" s="19">
        <f>G31*$B$10</f>
        <v/>
      </c>
      <c r="I30" s="19">
        <f>H31*$B$10</f>
        <v/>
      </c>
      <c r="J30" s="19">
        <f>I31*$B$10</f>
        <v/>
      </c>
      <c r="K30" s="19">
        <f>J31*$B$10</f>
        <v/>
      </c>
      <c r="L30" s="19">
        <f>K31*$B$10</f>
        <v/>
      </c>
      <c r="M30" s="19">
        <f>L31*$B$10</f>
        <v/>
      </c>
      <c r="N30" s="19">
        <f>SUM(B30:M30)</f>
        <v/>
      </c>
      <c r="O30" s="15" t="inlineStr">
        <is>
          <t>Prior month's paying subscribers × 16.7% monthly churn = ~1 in 6 subscribers leaves each month</t>
        </is>
      </c>
    </row>
    <row r="31" ht="15" customHeight="1">
      <c r="A31" s="20" t="inlineStr">
        <is>
          <t>Total paying subscribers (end of month)</t>
        </is>
      </c>
      <c r="B31" s="21">
        <f>MAX(0,0+B29-B30)</f>
        <v/>
      </c>
      <c r="C31" s="21">
        <f>MAX(0,B31+C29-C30)</f>
        <v/>
      </c>
      <c r="D31" s="21">
        <f>MAX(0,C31+D29-D30)</f>
        <v/>
      </c>
      <c r="E31" s="21">
        <f>MAX(0,D31+E29-E30)</f>
        <v/>
      </c>
      <c r="F31" s="21">
        <f>MAX(0,E31+F29-F30)</f>
        <v/>
      </c>
      <c r="G31" s="21">
        <f>MAX(0,F31+G29-G30)</f>
        <v/>
      </c>
      <c r="H31" s="21">
        <f>MAX(0,G31+H29-H30)</f>
        <v/>
      </c>
      <c r="I31" s="21">
        <f>MAX(0,H31+I29-I30)</f>
        <v/>
      </c>
      <c r="J31" s="21">
        <f>MAX(0,I31+J29-J30)</f>
        <v/>
      </c>
      <c r="K31" s="21">
        <f>MAX(0,J31+K29-K30)</f>
        <v/>
      </c>
      <c r="L31" s="21">
        <f>MAX(0,K31+L29-L30)</f>
        <v/>
      </c>
      <c r="M31" s="21">
        <f>MAX(0,L31+M29-M30)</f>
        <v/>
      </c>
      <c r="N31" s="21">
        <f>M31</f>
        <v/>
      </c>
      <c r="O31" s="15" t="inlineStr">
        <is>
          <t>Paying subs (end of month) = prior subs + new converts − churned; capped at zero</t>
        </is>
      </c>
    </row>
    <row r="32" ht="15" customHeight="1">
      <c r="A32" s="16" t="inlineStr">
        <is>
          <t xml:space="preserve">    Active users (trial + paid)</t>
        </is>
      </c>
      <c r="B32" s="22">
        <f>B28+B31</f>
        <v/>
      </c>
      <c r="C32" s="22">
        <f>C28+C31</f>
        <v/>
      </c>
      <c r="D32" s="22">
        <f>D28+D31</f>
        <v/>
      </c>
      <c r="E32" s="22">
        <f>E28+E31</f>
        <v/>
      </c>
      <c r="F32" s="22">
        <f>F28+F31</f>
        <v/>
      </c>
      <c r="G32" s="22">
        <f>G28+G31</f>
        <v/>
      </c>
      <c r="H32" s="22">
        <f>H28+H31</f>
        <v/>
      </c>
      <c r="I32" s="22">
        <f>I28+I31</f>
        <v/>
      </c>
      <c r="J32" s="22">
        <f>J28+J31</f>
        <v/>
      </c>
      <c r="K32" s="22">
        <f>K28+K31</f>
        <v/>
      </c>
      <c r="L32" s="22">
        <f>L28+L31</f>
        <v/>
      </c>
      <c r="M32" s="22">
        <f>M28+M31</f>
        <v/>
      </c>
      <c r="N32" s="22">
        <f>SUM(B32:M32)</f>
        <v/>
      </c>
      <c r="O32" s="15" t="inlineStr">
        <is>
          <t>All users consuming LLM inference: paying subscribers + new trial signups entering this month</t>
        </is>
      </c>
    </row>
    <row r="33" ht="5" customHeight="1"/>
    <row r="34" ht="16" customHeight="1">
      <c r="A34" s="23" t="inlineStr">
        <is>
          <t xml:space="preserve">  REVENUE</t>
        </is>
      </c>
      <c r="O34" s="15" t="inlineStr"/>
    </row>
    <row r="35" ht="15" customHeight="1">
      <c r="A35" s="16" t="inlineStr">
        <is>
          <t xml:space="preserve">    Gross subscription revenue</t>
        </is>
      </c>
      <c r="B35" s="24">
        <f>B31*$B$6</f>
        <v/>
      </c>
      <c r="C35" s="24">
        <f>C31*$B$6</f>
        <v/>
      </c>
      <c r="D35" s="24">
        <f>D31*$B$6</f>
        <v/>
      </c>
      <c r="E35" s="24">
        <f>E31*$B$6</f>
        <v/>
      </c>
      <c r="F35" s="24">
        <f>F31*$B$6</f>
        <v/>
      </c>
      <c r="G35" s="24">
        <f>G31*$B$6</f>
        <v/>
      </c>
      <c r="H35" s="24">
        <f>H31*$B$6</f>
        <v/>
      </c>
      <c r="I35" s="24">
        <f>I31*$B$6</f>
        <v/>
      </c>
      <c r="J35" s="24">
        <f>J31*$B$6</f>
        <v/>
      </c>
      <c r="K35" s="24">
        <f>K31*$B$6</f>
        <v/>
      </c>
      <c r="L35" s="24">
        <f>L31*$B$6</f>
        <v/>
      </c>
      <c r="M35" s="24">
        <f>M31*$B$6</f>
        <v/>
      </c>
      <c r="N35" s="24">
        <f>SUM(B35:M35)</f>
        <v/>
      </c>
      <c r="O35" s="15" t="inlineStr">
        <is>
          <t>Paying subscribers × $7/month — the unvalidated price point; model at $10 to see how math improves</t>
        </is>
      </c>
    </row>
    <row r="36" ht="15" customHeight="1">
      <c r="A36" s="16" t="inlineStr">
        <is>
          <t xml:space="preserve">      (less) Stripe processing fees</t>
        </is>
      </c>
      <c r="B36" s="25">
        <f>-(B35*$B$7+B31*$B$8)</f>
        <v/>
      </c>
      <c r="C36" s="25">
        <f>-(C35*$B$7+C31*$B$8)</f>
        <v/>
      </c>
      <c r="D36" s="25">
        <f>-(D35*$B$7+D31*$B$8)</f>
        <v/>
      </c>
      <c r="E36" s="25">
        <f>-(E35*$B$7+E31*$B$8)</f>
        <v/>
      </c>
      <c r="F36" s="25">
        <f>-(F35*$B$7+F31*$B$8)</f>
        <v/>
      </c>
      <c r="G36" s="25">
        <f>-(G35*$B$7+G31*$B$8)</f>
        <v/>
      </c>
      <c r="H36" s="25">
        <f>-(H35*$B$7+H31*$B$8)</f>
        <v/>
      </c>
      <c r="I36" s="25">
        <f>-(I35*$B$7+I31*$B$8)</f>
        <v/>
      </c>
      <c r="J36" s="25">
        <f>-(J35*$B$7+J31*$B$8)</f>
        <v/>
      </c>
      <c r="K36" s="25">
        <f>-(K35*$B$7+K31*$B$8)</f>
        <v/>
      </c>
      <c r="L36" s="25">
        <f>-(L35*$B$7+L31*$B$8)</f>
        <v/>
      </c>
      <c r="M36" s="25">
        <f>-(M35*$B$7+M31*$B$8)</f>
        <v/>
      </c>
      <c r="N36" s="25">
        <f>SUM(B36:M36)</f>
        <v/>
      </c>
      <c r="O36" s="15" t="inlineStr">
        <is>
          <t>Stripe: 2.9% of charge + $0.30 per transaction; shown as negative (cash leaving)</t>
        </is>
      </c>
    </row>
    <row r="37" ht="15" customHeight="1">
      <c r="A37" s="20" t="inlineStr">
        <is>
          <t>Net subscription revenue</t>
        </is>
      </c>
      <c r="B37" s="26">
        <f>B35+B36</f>
        <v/>
      </c>
      <c r="C37" s="26">
        <f>C35+C36</f>
        <v/>
      </c>
      <c r="D37" s="26">
        <f>D35+D36</f>
        <v/>
      </c>
      <c r="E37" s="26">
        <f>E35+E36</f>
        <v/>
      </c>
      <c r="F37" s="26">
        <f>F35+F36</f>
        <v/>
      </c>
      <c r="G37" s="26">
        <f>G35+G36</f>
        <v/>
      </c>
      <c r="H37" s="26">
        <f>H35+H36</f>
        <v/>
      </c>
      <c r="I37" s="26">
        <f>I35+I36</f>
        <v/>
      </c>
      <c r="J37" s="26">
        <f>J35+J36</f>
        <v/>
      </c>
      <c r="K37" s="26">
        <f>K35+K36</f>
        <v/>
      </c>
      <c r="L37" s="26">
        <f>L35+L36</f>
        <v/>
      </c>
      <c r="M37" s="26">
        <f>M35+M36</f>
        <v/>
      </c>
      <c r="N37" s="26">
        <f>SUM(B37:M37)</f>
        <v/>
      </c>
      <c r="O37" s="15" t="inlineStr">
        <is>
          <t>What arrives in your bank account after Stripe takes its cut</t>
        </is>
      </c>
    </row>
    <row r="38" ht="5" customHeight="1"/>
    <row r="39" ht="16" customHeight="1">
      <c r="A39" s="27" t="inlineStr">
        <is>
          <t xml:space="preserve">  VARIABLE COSTS  (scale with user count)</t>
        </is>
      </c>
      <c r="O39" s="15" t="inlineStr"/>
    </row>
    <row r="40" ht="15" customHeight="1">
      <c r="A40" s="16" t="inlineStr">
        <is>
          <t xml:space="preserve">    LLM inference — paying users</t>
        </is>
      </c>
      <c r="B40" s="25">
        <f>B31*$B$12*$B$11</f>
        <v/>
      </c>
      <c r="C40" s="25">
        <f>C31*$B$12*$B$11</f>
        <v/>
      </c>
      <c r="D40" s="25">
        <f>D31*$B$12*$B$11</f>
        <v/>
      </c>
      <c r="E40" s="25">
        <f>E31*$B$12*$B$11</f>
        <v/>
      </c>
      <c r="F40" s="25">
        <f>F31*$B$12*$B$11</f>
        <v/>
      </c>
      <c r="G40" s="25">
        <f>G31*$B$12*$B$11</f>
        <v/>
      </c>
      <c r="H40" s="25">
        <f>H31*$B$12*$B$11</f>
        <v/>
      </c>
      <c r="I40" s="25">
        <f>I31*$B$12*$B$11</f>
        <v/>
      </c>
      <c r="J40" s="25">
        <f>J31*$B$12*$B$11</f>
        <v/>
      </c>
      <c r="K40" s="25">
        <f>K31*$B$12*$B$11</f>
        <v/>
      </c>
      <c r="L40" s="25">
        <f>L31*$B$12*$B$11</f>
        <v/>
      </c>
      <c r="M40" s="25">
        <f>M31*$B$12*$B$11</f>
        <v/>
      </c>
      <c r="N40" s="25">
        <f>SUM(B40:M40)</f>
        <v/>
      </c>
      <c r="O40" s="15" t="inlineStr">
        <is>
          <t>Paying users × 43 photos/month × $0.03/photo — core product cost, scales with usage</t>
        </is>
      </c>
    </row>
    <row r="41" ht="15" customHeight="1">
      <c r="A41" s="16" t="inlineStr">
        <is>
          <t xml:space="preserve">    LLM inference — free trial users</t>
        </is>
      </c>
      <c r="B41" s="25">
        <f>B28*$B$14*$B$13*$B$11</f>
        <v/>
      </c>
      <c r="C41" s="25">
        <f>C28*$B$14*$B$13*$B$11</f>
        <v/>
      </c>
      <c r="D41" s="25">
        <f>D28*$B$14*$B$13*$B$11</f>
        <v/>
      </c>
      <c r="E41" s="25">
        <f>E28*$B$14*$B$13*$B$11</f>
        <v/>
      </c>
      <c r="F41" s="25">
        <f>F28*$B$14*$B$13*$B$11</f>
        <v/>
      </c>
      <c r="G41" s="25">
        <f>G28*$B$14*$B$13*$B$11</f>
        <v/>
      </c>
      <c r="H41" s="25">
        <f>H28*$B$14*$B$13*$B$11</f>
        <v/>
      </c>
      <c r="I41" s="25">
        <f>I28*$B$14*$B$13*$B$11</f>
        <v/>
      </c>
      <c r="J41" s="25">
        <f>J28*$B$14*$B$13*$B$11</f>
        <v/>
      </c>
      <c r="K41" s="25">
        <f>K28*$B$14*$B$13*$B$11</f>
        <v/>
      </c>
      <c r="L41" s="25">
        <f>L28*$B$14*$B$13*$B$11</f>
        <v/>
      </c>
      <c r="M41" s="25">
        <f>M28*$B$14*$B$13*$B$11</f>
        <v/>
      </c>
      <c r="N41" s="25">
        <f>SUM(B41:M41)</f>
        <v/>
      </c>
      <c r="O41" s="15" t="inlineStr">
        <is>
          <t>Trial users × 8 sessions × 5 photos × $0.03 — trial users cost money even if they never convert</t>
        </is>
      </c>
    </row>
    <row r="42" ht="15" customHeight="1">
      <c r="A42" s="16" t="inlineStr">
        <is>
          <t xml:space="preserve">    Variable infrastructure (per active user)</t>
        </is>
      </c>
      <c r="B42" s="25">
        <f>B32*$B$15</f>
        <v/>
      </c>
      <c r="C42" s="25">
        <f>C32*$B$15</f>
        <v/>
      </c>
      <c r="D42" s="25">
        <f>D32*$B$15</f>
        <v/>
      </c>
      <c r="E42" s="25">
        <f>E32*$B$15</f>
        <v/>
      </c>
      <c r="F42" s="25">
        <f>F32*$B$15</f>
        <v/>
      </c>
      <c r="G42" s="25">
        <f>G32*$B$15</f>
        <v/>
      </c>
      <c r="H42" s="25">
        <f>H32*$B$15</f>
        <v/>
      </c>
      <c r="I42" s="25">
        <f>I32*$B$15</f>
        <v/>
      </c>
      <c r="J42" s="25">
        <f>J32*$B$15</f>
        <v/>
      </c>
      <c r="K42" s="25">
        <f>K32*$B$15</f>
        <v/>
      </c>
      <c r="L42" s="25">
        <f>L32*$B$15</f>
        <v/>
      </c>
      <c r="M42" s="25">
        <f>M32*$B$15</f>
        <v/>
      </c>
      <c r="N42" s="25">
        <f>SUM(B42:M42)</f>
        <v/>
      </c>
      <c r="O42" s="15" t="inlineStr">
        <is>
          <t>All active users (trial + paid) × $0.25 — marginal AWS bandwidth/compute per user</t>
        </is>
      </c>
    </row>
    <row r="43" ht="15" customHeight="1">
      <c r="A43" s="16" t="inlineStr">
        <is>
          <t xml:space="preserve">    Refunds &amp; chargebacks</t>
        </is>
      </c>
      <c r="B43" s="25">
        <f>B35*$B$16</f>
        <v/>
      </c>
      <c r="C43" s="25">
        <f>C35*$B$16</f>
        <v/>
      </c>
      <c r="D43" s="25">
        <f>D35*$B$16</f>
        <v/>
      </c>
      <c r="E43" s="25">
        <f>E35*$B$16</f>
        <v/>
      </c>
      <c r="F43" s="25">
        <f>F35*$B$16</f>
        <v/>
      </c>
      <c r="G43" s="25">
        <f>G35*$B$16</f>
        <v/>
      </c>
      <c r="H43" s="25">
        <f>H35*$B$16</f>
        <v/>
      </c>
      <c r="I43" s="25">
        <f>I35*$B$16</f>
        <v/>
      </c>
      <c r="J43" s="25">
        <f>J35*$B$16</f>
        <v/>
      </c>
      <c r="K43" s="25">
        <f>K35*$B$16</f>
        <v/>
      </c>
      <c r="L43" s="25">
        <f>L35*$B$16</f>
        <v/>
      </c>
      <c r="M43" s="25">
        <f>M35*$B$16</f>
        <v/>
      </c>
      <c r="N43" s="25">
        <f>SUM(B43:M43)</f>
        <v/>
      </c>
      <c r="O43" s="15" t="inlineStr">
        <is>
          <t>2% of gross revenue — Stripe keeps transaction fees on refunds; chargebacks cost $15 each regardless</t>
        </is>
      </c>
    </row>
    <row r="44" ht="15" customHeight="1">
      <c r="A44" s="16" t="inlineStr">
        <is>
          <t xml:space="preserve">    Stripe Tax fee (SaaS sales tax collection 0.5%)</t>
        </is>
      </c>
      <c r="B44" s="25">
        <f>B35*0.005</f>
        <v/>
      </c>
      <c r="C44" s="25">
        <f>C35*0.005</f>
        <v/>
      </c>
      <c r="D44" s="25">
        <f>D35*0.005</f>
        <v/>
      </c>
      <c r="E44" s="25">
        <f>E35*0.005</f>
        <v/>
      </c>
      <c r="F44" s="25">
        <f>F35*0.005</f>
        <v/>
      </c>
      <c r="G44" s="25">
        <f>G35*0.005</f>
        <v/>
      </c>
      <c r="H44" s="25">
        <f>H35*0.005</f>
        <v/>
      </c>
      <c r="I44" s="25">
        <f>I35*0.005</f>
        <v/>
      </c>
      <c r="J44" s="25">
        <f>J35*0.005</f>
        <v/>
      </c>
      <c r="K44" s="25">
        <f>K35*0.005</f>
        <v/>
      </c>
      <c r="L44" s="25">
        <f>L35*0.005</f>
        <v/>
      </c>
      <c r="M44" s="25">
        <f>M35*0.005</f>
        <v/>
      </c>
      <c r="N44" s="25">
        <f>SUM(B44:M44)</f>
        <v/>
      </c>
      <c r="O44" s="15" t="inlineStr">
        <is>
          <t>Stripe Tax service fee (0.5%) to collect and remit SaaS sales tax; legally required in 30+ US states</t>
        </is>
      </c>
    </row>
    <row r="45" ht="15" customHeight="1">
      <c r="A45" s="27" t="inlineStr">
        <is>
          <t>TOTAL VARIABLE COSTS</t>
        </is>
      </c>
      <c r="B45" s="28">
        <f>SUM(B40:B44)</f>
        <v/>
      </c>
      <c r="C45" s="28">
        <f>SUM(C40:C44)</f>
        <v/>
      </c>
      <c r="D45" s="28">
        <f>SUM(D40:D44)</f>
        <v/>
      </c>
      <c r="E45" s="28">
        <f>SUM(E40:E44)</f>
        <v/>
      </c>
      <c r="F45" s="28">
        <f>SUM(F40:F44)</f>
        <v/>
      </c>
      <c r="G45" s="28">
        <f>SUM(G40:G44)</f>
        <v/>
      </c>
      <c r="H45" s="28">
        <f>SUM(H40:H44)</f>
        <v/>
      </c>
      <c r="I45" s="28">
        <f>SUM(I40:I44)</f>
        <v/>
      </c>
      <c r="J45" s="28">
        <f>SUM(J40:J44)</f>
        <v/>
      </c>
      <c r="K45" s="28">
        <f>SUM(K40:K44)</f>
        <v/>
      </c>
      <c r="L45" s="28">
        <f>SUM(L40:L44)</f>
        <v/>
      </c>
      <c r="M45" s="28">
        <f>SUM(M40:M44)</f>
        <v/>
      </c>
      <c r="N45" s="28">
        <f>SUM(B45:M45)</f>
        <v/>
      </c>
      <c r="O45" s="15" t="inlineStr">
        <is>
          <t>Total costs that scale with your user base — LLM costs dominate</t>
        </is>
      </c>
    </row>
    <row r="46" ht="5" customHeight="1"/>
    <row r="47" ht="16" customHeight="1">
      <c r="A47" s="23" t="inlineStr">
        <is>
          <t xml:space="preserve">  GROSS PROFIT</t>
        </is>
      </c>
      <c r="O47" s="15" t="inlineStr"/>
    </row>
    <row r="48" ht="15" customHeight="1">
      <c r="A48" s="20" t="inlineStr">
        <is>
          <t>Gross profit</t>
        </is>
      </c>
      <c r="B48" s="26">
        <f>B37-B45</f>
        <v/>
      </c>
      <c r="C48" s="26">
        <f>C37-C45</f>
        <v/>
      </c>
      <c r="D48" s="26">
        <f>D37-D45</f>
        <v/>
      </c>
      <c r="E48" s="26">
        <f>E37-E45</f>
        <v/>
      </c>
      <c r="F48" s="26">
        <f>F37-F45</f>
        <v/>
      </c>
      <c r="G48" s="26">
        <f>G37-G45</f>
        <v/>
      </c>
      <c r="H48" s="26">
        <f>H37-H45</f>
        <v/>
      </c>
      <c r="I48" s="26">
        <f>I37-I45</f>
        <v/>
      </c>
      <c r="J48" s="26">
        <f>J37-J45</f>
        <v/>
      </c>
      <c r="K48" s="26">
        <f>K37-K45</f>
        <v/>
      </c>
      <c r="L48" s="26">
        <f>L37-L45</f>
        <v/>
      </c>
      <c r="M48" s="26">
        <f>M37-M45</f>
        <v/>
      </c>
      <c r="N48" s="26">
        <f>SUM(B48:M48)</f>
        <v/>
      </c>
      <c r="O48" s="15" t="inlineStr">
        <is>
          <t>Net revenue minus variable costs — what remains to cover fixed overhead; negative until scale</t>
        </is>
      </c>
    </row>
    <row r="49" ht="15" customHeight="1">
      <c r="A49" s="16" t="inlineStr">
        <is>
          <t xml:space="preserve">    Gross margin %</t>
        </is>
      </c>
      <c r="B49" s="29">
        <f>IF(B37&lt;&gt;0,B48/B37,0)</f>
        <v/>
      </c>
      <c r="C49" s="29">
        <f>IF(C37&lt;&gt;0,C48/C37,0)</f>
        <v/>
      </c>
      <c r="D49" s="29">
        <f>IF(D37&lt;&gt;0,D48/D37,0)</f>
        <v/>
      </c>
      <c r="E49" s="29">
        <f>IF(E37&lt;&gt;0,E48/E37,0)</f>
        <v/>
      </c>
      <c r="F49" s="29">
        <f>IF(F37&lt;&gt;0,F48/F37,0)</f>
        <v/>
      </c>
      <c r="G49" s="29">
        <f>IF(G37&lt;&gt;0,G48/G37,0)</f>
        <v/>
      </c>
      <c r="H49" s="29">
        <f>IF(H37&lt;&gt;0,H48/H37,0)</f>
        <v/>
      </c>
      <c r="I49" s="29">
        <f>IF(I37&lt;&gt;0,I48/I37,0)</f>
        <v/>
      </c>
      <c r="J49" s="29">
        <f>IF(J37&lt;&gt;0,J48/J37,0)</f>
        <v/>
      </c>
      <c r="K49" s="29">
        <f>IF(K37&lt;&gt;0,K48/K37,0)</f>
        <v/>
      </c>
      <c r="L49" s="29">
        <f>IF(L37&lt;&gt;0,L48/L37,0)</f>
        <v/>
      </c>
      <c r="M49" s="29">
        <f>IF(M37&lt;&gt;0,M48/M37,0)</f>
        <v/>
      </c>
      <c r="N49" s="29">
        <f>SUM(B49:M49)</f>
        <v/>
      </c>
      <c r="O49" s="15" t="inlineStr">
        <is>
          <t>Gross margin % = gross profit ÷ net revenue; should reach 50%+ at sustainable scale</t>
        </is>
      </c>
    </row>
    <row r="50" ht="5" customHeight="1"/>
    <row r="51" ht="16" customHeight="1">
      <c r="A51" s="27" t="inlineStr">
        <is>
          <t xml:space="preserve">  FIXED COSTS  (same every month regardless of user count)</t>
        </is>
      </c>
      <c r="O51" s="15" t="inlineStr"/>
    </row>
    <row r="52" ht="15" customHeight="1">
      <c r="A52" s="16" t="inlineStr">
        <is>
          <t xml:space="preserve">    Your time — Jane's labor</t>
        </is>
      </c>
      <c r="B52" s="25">
        <f>$B$17*$B$18*(52/12)</f>
        <v/>
      </c>
      <c r="C52" s="25">
        <f>$B$17*$B$18*(52/12)</f>
        <v/>
      </c>
      <c r="D52" s="25">
        <f>$B$17*$B$18*(52/12)</f>
        <v/>
      </c>
      <c r="E52" s="25">
        <f>$B$17*$B$18*(52/12)</f>
        <v/>
      </c>
      <c r="F52" s="25">
        <f>$B$17*$B$18*(52/12)</f>
        <v/>
      </c>
      <c r="G52" s="25">
        <f>$B$17*$B$18*(52/12)</f>
        <v/>
      </c>
      <c r="H52" s="25">
        <f>$B$17*$B$18*(52/12)</f>
        <v/>
      </c>
      <c r="I52" s="25">
        <f>$B$17*$B$18*(52/12)</f>
        <v/>
      </c>
      <c r="J52" s="25">
        <f>$B$17*$B$18*(52/12)</f>
        <v/>
      </c>
      <c r="K52" s="25">
        <f>$B$17*$B$18*(52/12)</f>
        <v/>
      </c>
      <c r="L52" s="25">
        <f>$B$17*$B$18*(52/12)</f>
        <v/>
      </c>
      <c r="M52" s="25">
        <f>$B$17*$B$18*(52/12)</f>
        <v/>
      </c>
      <c r="N52" s="25">
        <f>SUM(B52:M52)</f>
        <v/>
      </c>
      <c r="O52" s="15" t="inlineStr">
        <is>
          <t>9 hrs/week × 4.33 wks/month × $15/hr ≈ $585/month — your single largest cost; improves per-user as scale grows</t>
        </is>
      </c>
    </row>
    <row r="53" ht="15" customHeight="1">
      <c r="A53" s="16" t="inlineStr">
        <is>
          <t xml:space="preserve">    Base infrastructure (server + database)</t>
        </is>
      </c>
      <c r="B53" s="25">
        <f>$B$21</f>
        <v/>
      </c>
      <c r="C53" s="25">
        <f>$B$21</f>
        <v/>
      </c>
      <c r="D53" s="25">
        <f>$B$21</f>
        <v/>
      </c>
      <c r="E53" s="25">
        <f>$B$21</f>
        <v/>
      </c>
      <c r="F53" s="25">
        <f>$B$21</f>
        <v/>
      </c>
      <c r="G53" s="25">
        <f>$B$21</f>
        <v/>
      </c>
      <c r="H53" s="25">
        <f>$B$21</f>
        <v/>
      </c>
      <c r="I53" s="25">
        <f>$B$21</f>
        <v/>
      </c>
      <c r="J53" s="25">
        <f>$B$21</f>
        <v/>
      </c>
      <c r="K53" s="25">
        <f>$B$21</f>
        <v/>
      </c>
      <c r="L53" s="25">
        <f>$B$21</f>
        <v/>
      </c>
      <c r="M53" s="25">
        <f>$B$21</f>
        <v/>
      </c>
      <c r="N53" s="25">
        <f>SUM(B53:M53)</f>
        <v/>
      </c>
      <c r="O53" s="15" t="inlineStr">
        <is>
          <t>AWS server + database — largely fixed until ~1,000 users; $70/month regardless of user count</t>
        </is>
      </c>
    </row>
    <row r="54" ht="15" customHeight="1">
      <c r="A54" s="16" t="inlineStr">
        <is>
          <t xml:space="preserve">    Legal / compliance (amortized)</t>
        </is>
      </c>
      <c r="B54" s="25">
        <f>$B$22</f>
        <v/>
      </c>
      <c r="C54" s="25">
        <f>$B$22</f>
        <v/>
      </c>
      <c r="D54" s="25">
        <f>$B$22</f>
        <v/>
      </c>
      <c r="E54" s="25">
        <f>$B$22</f>
        <v/>
      </c>
      <c r="F54" s="25">
        <f>$B$22</f>
        <v/>
      </c>
      <c r="G54" s="25">
        <f>$B$22</f>
        <v/>
      </c>
      <c r="H54" s="25">
        <f>$B$22</f>
        <v/>
      </c>
      <c r="I54" s="25">
        <f>$B$22</f>
        <v/>
      </c>
      <c r="J54" s="25">
        <f>$B$22</f>
        <v/>
      </c>
      <c r="K54" s="25">
        <f>$B$22</f>
        <v/>
      </c>
      <c r="L54" s="25">
        <f>$B$22</f>
        <v/>
      </c>
      <c r="M54" s="25">
        <f>$B$22</f>
        <v/>
      </c>
      <c r="N54" s="25">
        <f>SUM(B54:M54)</f>
        <v/>
      </c>
      <c r="O54" s="15" t="inlineStr">
        <is>
          <t>Privacy policy + TOS legal review amortized across year 1; GDPR/CCPA compliance setup</t>
        </is>
      </c>
    </row>
    <row r="55" ht="15" customHeight="1">
      <c r="A55" s="16" t="inlineStr">
        <is>
          <t xml:space="preserve">    Insurance — cyber + general + E&amp;O</t>
        </is>
      </c>
      <c r="B55" s="25">
        <f>$B$19</f>
        <v/>
      </c>
      <c r="C55" s="25">
        <f>$B$19</f>
        <v/>
      </c>
      <c r="D55" s="25">
        <f>$B$19</f>
        <v/>
      </c>
      <c r="E55" s="25">
        <f>$B$19</f>
        <v/>
      </c>
      <c r="F55" s="25">
        <f>$B$19</f>
        <v/>
      </c>
      <c r="G55" s="25">
        <f>$B$19</f>
        <v/>
      </c>
      <c r="H55" s="25">
        <f>$B$19</f>
        <v/>
      </c>
      <c r="I55" s="25">
        <f>$B$19</f>
        <v/>
      </c>
      <c r="J55" s="25">
        <f>$B$19</f>
        <v/>
      </c>
      <c r="K55" s="25">
        <f>$B$19</f>
        <v/>
      </c>
      <c r="L55" s="25">
        <f>$B$19</f>
        <v/>
      </c>
      <c r="M55" s="25">
        <f>$B$19</f>
        <v/>
      </c>
      <c r="N55" s="25">
        <f>SUM(B55:M55)</f>
        <v/>
      </c>
      <c r="O55" s="15" t="inlineStr">
        <is>
          <t>Cyber liability (photo data), general liability, professional liability (E&amp;O for advice product) — required</t>
        </is>
      </c>
    </row>
    <row r="56" ht="15" customHeight="1">
      <c r="A56" s="16" t="inlineStr">
        <is>
          <t xml:space="preserve">    Software tools + LLC fees</t>
        </is>
      </c>
      <c r="B56" s="25">
        <f>$B$20</f>
        <v/>
      </c>
      <c r="C56" s="25">
        <f>$B$20</f>
        <v/>
      </c>
      <c r="D56" s="25">
        <f>$B$20</f>
        <v/>
      </c>
      <c r="E56" s="25">
        <f>$B$20</f>
        <v/>
      </c>
      <c r="F56" s="25">
        <f>$B$20</f>
        <v/>
      </c>
      <c r="G56" s="25">
        <f>$B$20</f>
        <v/>
      </c>
      <c r="H56" s="25">
        <f>$B$20</f>
        <v/>
      </c>
      <c r="I56" s="25">
        <f>$B$20</f>
        <v/>
      </c>
      <c r="J56" s="25">
        <f>$B$20</f>
        <v/>
      </c>
      <c r="K56" s="25">
        <f>$B$20</f>
        <v/>
      </c>
      <c r="L56" s="25">
        <f>$B$20</f>
        <v/>
      </c>
      <c r="M56" s="25">
        <f>$B$20</f>
        <v/>
      </c>
      <c r="N56" s="25">
        <f>SUM(B56:M56)</f>
        <v/>
      </c>
      <c r="O56" s="15" t="inlineStr">
        <is>
          <t>Domain name, Figma design tool, LLC annual state filing fees — previously missing from model</t>
        </is>
      </c>
    </row>
    <row r="57" ht="15" customHeight="1">
      <c r="A57" s="27" t="inlineStr">
        <is>
          <t>TOTAL FIXED COSTS</t>
        </is>
      </c>
      <c r="B57" s="28">
        <f>SUM(B52:B56)</f>
        <v/>
      </c>
      <c r="C57" s="28">
        <f>SUM(C52:C56)</f>
        <v/>
      </c>
      <c r="D57" s="28">
        <f>SUM(D52:D56)</f>
        <v/>
      </c>
      <c r="E57" s="28">
        <f>SUM(E52:E56)</f>
        <v/>
      </c>
      <c r="F57" s="28">
        <f>SUM(F52:F56)</f>
        <v/>
      </c>
      <c r="G57" s="28">
        <f>SUM(G52:G56)</f>
        <v/>
      </c>
      <c r="H57" s="28">
        <f>SUM(H52:H56)</f>
        <v/>
      </c>
      <c r="I57" s="28">
        <f>SUM(I52:I56)</f>
        <v/>
      </c>
      <c r="J57" s="28">
        <f>SUM(J52:J56)</f>
        <v/>
      </c>
      <c r="K57" s="28">
        <f>SUM(K52:K56)</f>
        <v/>
      </c>
      <c r="L57" s="28">
        <f>SUM(L52:L56)</f>
        <v/>
      </c>
      <c r="M57" s="28">
        <f>SUM(M52:M56)</f>
        <v/>
      </c>
      <c r="N57" s="28">
        <f>SUM(B57:M57)</f>
        <v/>
      </c>
      <c r="O57" s="15" t="inlineStr">
        <is>
          <t>Monthly overhead that exists regardless of whether you have 1 or 1,000 users</t>
        </is>
      </c>
    </row>
    <row r="58" ht="5" customHeight="1"/>
    <row r="59" ht="16" customHeight="1">
      <c r="A59" s="30" t="inlineStr">
        <is>
          <t xml:space="preserve">  OPERATING RESULT</t>
        </is>
      </c>
      <c r="O59" s="15" t="inlineStr"/>
    </row>
    <row r="60" ht="15" customHeight="1">
      <c r="A60" s="20" t="inlineStr">
        <is>
          <t>Total operating costs</t>
        </is>
      </c>
      <c r="B60" s="31">
        <f>B45+B57</f>
        <v/>
      </c>
      <c r="C60" s="31">
        <f>C45+C57</f>
        <v/>
      </c>
      <c r="D60" s="31">
        <f>D45+D57</f>
        <v/>
      </c>
      <c r="E60" s="31">
        <f>E45+E57</f>
        <v/>
      </c>
      <c r="F60" s="31">
        <f>F45+F57</f>
        <v/>
      </c>
      <c r="G60" s="31">
        <f>G45+G57</f>
        <v/>
      </c>
      <c r="H60" s="31">
        <f>H45+H57</f>
        <v/>
      </c>
      <c r="I60" s="31">
        <f>I45+I57</f>
        <v/>
      </c>
      <c r="J60" s="31">
        <f>J45+J57</f>
        <v/>
      </c>
      <c r="K60" s="31">
        <f>K45+K57</f>
        <v/>
      </c>
      <c r="L60" s="31">
        <f>L45+L57</f>
        <v/>
      </c>
      <c r="M60" s="31">
        <f>M45+M57</f>
        <v/>
      </c>
      <c r="N60" s="31">
        <f>SUM(B60:M60)</f>
        <v/>
      </c>
      <c r="O60" s="15" t="inlineStr">
        <is>
          <t>Total cash out the door each month: variable (scales with users) + fixed (always there)</t>
        </is>
      </c>
    </row>
    <row r="61" ht="15" customHeight="1">
      <c r="A61" s="30" t="inlineStr">
        <is>
          <t>OPERATING INCOME (LOSS)</t>
        </is>
      </c>
      <c r="B61" s="32">
        <f>B37-B60</f>
        <v/>
      </c>
      <c r="C61" s="32">
        <f>C37-C60</f>
        <v/>
      </c>
      <c r="D61" s="32">
        <f>D37-D60</f>
        <v/>
      </c>
      <c r="E61" s="32">
        <f>E37-E60</f>
        <v/>
      </c>
      <c r="F61" s="32">
        <f>F37-F60</f>
        <v/>
      </c>
      <c r="G61" s="32">
        <f>G37-G60</f>
        <v/>
      </c>
      <c r="H61" s="32">
        <f>H37-H60</f>
        <v/>
      </c>
      <c r="I61" s="32">
        <f>I37-I60</f>
        <v/>
      </c>
      <c r="J61" s="32">
        <f>J37-J60</f>
        <v/>
      </c>
      <c r="K61" s="32">
        <f>K37-K60</f>
        <v/>
      </c>
      <c r="L61" s="32">
        <f>L37-L60</f>
        <v/>
      </c>
      <c r="M61" s="32">
        <f>M37-M60</f>
        <v/>
      </c>
      <c r="N61" s="32">
        <f>SUM(B61:M61)</f>
        <v/>
      </c>
      <c r="O61" s="15" t="inlineStr">
        <is>
          <t>Net revenue − total costs; negative = burning cash this month; watch the trend, not just the number</t>
        </is>
      </c>
    </row>
    <row r="62" ht="15" customHeight="1">
      <c r="A62" s="20" t="inlineStr">
        <is>
          <t>Cumulative cash position</t>
        </is>
      </c>
      <c r="B62" s="33">
        <f>B61</f>
        <v/>
      </c>
      <c r="C62" s="33">
        <f>B62+C61</f>
        <v/>
      </c>
      <c r="D62" s="33">
        <f>C62+D61</f>
        <v/>
      </c>
      <c r="E62" s="33">
        <f>D62+E61</f>
        <v/>
      </c>
      <c r="F62" s="33">
        <f>E62+F61</f>
        <v/>
      </c>
      <c r="G62" s="33">
        <f>F62+G61</f>
        <v/>
      </c>
      <c r="H62" s="33">
        <f>G62+H61</f>
        <v/>
      </c>
      <c r="I62" s="33">
        <f>H62+I61</f>
        <v/>
      </c>
      <c r="J62" s="33">
        <f>I62+J61</f>
        <v/>
      </c>
      <c r="K62" s="33">
        <f>J62+K61</f>
        <v/>
      </c>
      <c r="L62" s="33">
        <f>K62+L61</f>
        <v/>
      </c>
      <c r="M62" s="33">
        <f>L62+M61</f>
        <v/>
      </c>
      <c r="N62" s="33">
        <f>M62</f>
        <v/>
      </c>
      <c r="O62" s="15" t="inlineStr">
        <is>
          <t>Running total of cash position — shows how much funding you need to reach break-even</t>
        </is>
      </c>
    </row>
    <row r="63" ht="5" customHeight="1"/>
    <row r="64" ht="16" customHeight="1">
      <c r="A64" s="3" t="inlineStr">
        <is>
          <t xml:space="preserve">  UNIT ECONOMICS  (per paying customer per month)</t>
        </is>
      </c>
      <c r="O64" s="15" t="inlineStr"/>
    </row>
    <row r="65" ht="15" customHeight="1">
      <c r="A65" s="16" t="inlineStr">
        <is>
          <t xml:space="preserve">    Revenue per paying customer</t>
        </is>
      </c>
      <c r="B65" s="24">
        <f>IF(B31&gt;0,B35/B31,0)</f>
        <v/>
      </c>
      <c r="C65" s="24">
        <f>IF(C31&gt;0,C35/C31,0)</f>
        <v/>
      </c>
      <c r="D65" s="24">
        <f>IF(D31&gt;0,D35/D31,0)</f>
        <v/>
      </c>
      <c r="E65" s="24">
        <f>IF(E31&gt;0,E35/E31,0)</f>
        <v/>
      </c>
      <c r="F65" s="24">
        <f>IF(F31&gt;0,F35/F31,0)</f>
        <v/>
      </c>
      <c r="G65" s="24">
        <f>IF(G31&gt;0,G35/G31,0)</f>
        <v/>
      </c>
      <c r="H65" s="24">
        <f>IF(H31&gt;0,H35/H31,0)</f>
        <v/>
      </c>
      <c r="I65" s="24">
        <f>IF(I31&gt;0,I35/I31,0)</f>
        <v/>
      </c>
      <c r="J65" s="24">
        <f>IF(J31&gt;0,J35/J31,0)</f>
        <v/>
      </c>
      <c r="K65" s="24">
        <f>IF(K31&gt;0,K35/K31,0)</f>
        <v/>
      </c>
      <c r="L65" s="24">
        <f>IF(L31&gt;0,L35/L31,0)</f>
        <v/>
      </c>
      <c r="M65" s="24">
        <f>IF(M31&gt;0,M35/M31,0)</f>
        <v/>
      </c>
      <c r="N65" s="24">
        <f>SUM(B65:M65)</f>
        <v/>
      </c>
      <c r="O65" s="15">
        <f> price; shown here so you can compare revenue vs. cost on same row</f>
        <v/>
      </c>
    </row>
    <row r="66" ht="15" customHeight="1">
      <c r="A66" s="16" t="inlineStr">
        <is>
          <t xml:space="preserve">    Variable cost per paying customer</t>
        </is>
      </c>
      <c r="B66" s="25">
        <f>IF(B31&gt;0,B45/B31,0)</f>
        <v/>
      </c>
      <c r="C66" s="25">
        <f>IF(C31&gt;0,C45/C31,0)</f>
        <v/>
      </c>
      <c r="D66" s="25">
        <f>IF(D31&gt;0,D45/D31,0)</f>
        <v/>
      </c>
      <c r="E66" s="25">
        <f>IF(E31&gt;0,E45/E31,0)</f>
        <v/>
      </c>
      <c r="F66" s="25">
        <f>IF(F31&gt;0,F45/F31,0)</f>
        <v/>
      </c>
      <c r="G66" s="25">
        <f>IF(G31&gt;0,G45/G31,0)</f>
        <v/>
      </c>
      <c r="H66" s="25">
        <f>IF(H31&gt;0,H45/H31,0)</f>
        <v/>
      </c>
      <c r="I66" s="25">
        <f>IF(I31&gt;0,I45/I31,0)</f>
        <v/>
      </c>
      <c r="J66" s="25">
        <f>IF(J31&gt;0,J45/J31,0)</f>
        <v/>
      </c>
      <c r="K66" s="25">
        <f>IF(K31&gt;0,K45/K31,0)</f>
        <v/>
      </c>
      <c r="L66" s="25">
        <f>IF(L31&gt;0,L45/L31,0)</f>
        <v/>
      </c>
      <c r="M66" s="25">
        <f>IF(M31&gt;0,M45/M31,0)</f>
        <v/>
      </c>
      <c r="N66" s="34" t="inlineStr"/>
      <c r="O66" s="15" t="inlineStr">
        <is>
          <t>Variable costs ÷ paying subscribers; shows direct cost of serving one paying user this month</t>
        </is>
      </c>
    </row>
    <row r="67" ht="15" customHeight="1">
      <c r="A67" s="20" t="inlineStr">
        <is>
          <t>Contribution margin per customer</t>
        </is>
      </c>
      <c r="B67" s="26">
        <f>IF(B31&gt;0,(B37-B45)/B31,0)</f>
        <v/>
      </c>
      <c r="C67" s="26">
        <f>IF(C31&gt;0,(C37-C45)/C31,0)</f>
        <v/>
      </c>
      <c r="D67" s="26">
        <f>IF(D31&gt;0,(D37-D45)/D31,0)</f>
        <v/>
      </c>
      <c r="E67" s="26">
        <f>IF(E31&gt;0,(E37-E45)/E31,0)</f>
        <v/>
      </c>
      <c r="F67" s="26">
        <f>IF(F31&gt;0,(F37-F45)/F31,0)</f>
        <v/>
      </c>
      <c r="G67" s="26">
        <f>IF(G31&gt;0,(G37-G45)/G31,0)</f>
        <v/>
      </c>
      <c r="H67" s="26">
        <f>IF(H31&gt;0,(H37-H45)/H31,0)</f>
        <v/>
      </c>
      <c r="I67" s="26">
        <f>IF(I31&gt;0,(I37-I45)/I31,0)</f>
        <v/>
      </c>
      <c r="J67" s="26">
        <f>IF(J31&gt;0,(J37-J45)/J31,0)</f>
        <v/>
      </c>
      <c r="K67" s="26">
        <f>IF(K31&gt;0,(K37-K45)/K31,0)</f>
        <v/>
      </c>
      <c r="L67" s="26">
        <f>IF(L31&gt;0,(L37-L45)/L31,0)</f>
        <v/>
      </c>
      <c r="M67" s="26">
        <f>IF(M31&gt;0,(M37-M45)/M31,0)</f>
        <v/>
      </c>
      <c r="N67" s="35" t="inlineStr"/>
      <c r="O67" s="15" t="inlineStr">
        <is>
          <t>Revenue per customer minus variable cost per customer; contribution toward fixed costs</t>
        </is>
      </c>
    </row>
    <row r="68" ht="15" customHeight="1">
      <c r="A68" s="16" t="inlineStr">
        <is>
          <t xml:space="preserve">    Contribution margin %</t>
        </is>
      </c>
      <c r="B68" s="29">
        <f>IF(B65&lt;&gt;0,B67/B65,0)</f>
        <v/>
      </c>
      <c r="C68" s="29">
        <f>IF(C65&lt;&gt;0,C67/C65,0)</f>
        <v/>
      </c>
      <c r="D68" s="29">
        <f>IF(D65&lt;&gt;0,D67/D65,0)</f>
        <v/>
      </c>
      <c r="E68" s="29">
        <f>IF(E65&lt;&gt;0,E67/E65,0)</f>
        <v/>
      </c>
      <c r="F68" s="29">
        <f>IF(F65&lt;&gt;0,F67/F65,0)</f>
        <v/>
      </c>
      <c r="G68" s="29">
        <f>IF(G65&lt;&gt;0,G67/G65,0)</f>
        <v/>
      </c>
      <c r="H68" s="29">
        <f>IF(H65&lt;&gt;0,H67/H65,0)</f>
        <v/>
      </c>
      <c r="I68" s="29">
        <f>IF(I65&lt;&gt;0,I67/I65,0)</f>
        <v/>
      </c>
      <c r="J68" s="29">
        <f>IF(J65&lt;&gt;0,J67/J65,0)</f>
        <v/>
      </c>
      <c r="K68" s="29">
        <f>IF(K65&lt;&gt;0,K67/K65,0)</f>
        <v/>
      </c>
      <c r="L68" s="29">
        <f>IF(L65&lt;&gt;0,L67/L65,0)</f>
        <v/>
      </c>
      <c r="M68" s="29">
        <f>IF(M65&lt;&gt;0,M67/M65,0)</f>
        <v/>
      </c>
      <c r="N68" s="29" t="inlineStr"/>
      <c r="O68" s="15" t="inlineStr">
        <is>
          <t>What % of each revenue dollar survives after variable costs — must be high enough to cover fixed costs</t>
        </is>
      </c>
    </row>
  </sheetData>
  <mergeCells count="29">
    <mergeCell ref="A25:O25"/>
    <mergeCell ref="A39:N39"/>
    <mergeCell ref="A34:N34"/>
    <mergeCell ref="D11:O11"/>
    <mergeCell ref="D13:O13"/>
    <mergeCell ref="A64:N64"/>
    <mergeCell ref="A59:N59"/>
    <mergeCell ref="A51:N51"/>
    <mergeCell ref="D17:O17"/>
    <mergeCell ref="D7:O7"/>
    <mergeCell ref="D16:O16"/>
    <mergeCell ref="A2:O2"/>
    <mergeCell ref="D18:O18"/>
    <mergeCell ref="D9:O9"/>
    <mergeCell ref="A4:O4"/>
    <mergeCell ref="D12:O12"/>
    <mergeCell ref="D8:O8"/>
    <mergeCell ref="A27:N27"/>
    <mergeCell ref="D15:O15"/>
    <mergeCell ref="D5:O5"/>
    <mergeCell ref="D14:O14"/>
    <mergeCell ref="A47:N47"/>
    <mergeCell ref="D20:O20"/>
    <mergeCell ref="D10:O10"/>
    <mergeCell ref="D19:O19"/>
    <mergeCell ref="A1:O1"/>
    <mergeCell ref="D22:O22"/>
    <mergeCell ref="D21:O21"/>
    <mergeCell ref="D6:O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2026-06-23T11:59:03Z</dcterms:created>
  <dcterms:modified xsi:type="dcterms:W3CDTF">2026-06-23T15:34:47Z</dcterms:modified>
</cp:coreProperties>
</file>