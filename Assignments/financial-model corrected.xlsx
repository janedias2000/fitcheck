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jane/Documents/Classes/ Venture Code/Assignments/"/>
    </mc:Choice>
  </mc:AlternateContent>
  <xr:revisionPtr revIDLastSave="0" documentId="11_B3C9BA7C97F4E5F7D4001383C3B4E3EA898DE6CB" xr6:coauthVersionLast="47" xr6:coauthVersionMax="47" xr10:uidLastSave="{00000000-0000-0000-0000-000000000000}"/>
  <bookViews>
    <workbookView xWindow="-37080" yWindow="2160" windowWidth="28800" windowHeight="18000" activeTab="1" xr2:uid="{00000000-000D-0000-FFFF-FFFF00000000}"/>
  </bookViews>
  <sheets>
    <sheet name="Year 1 Financial Model" sheetId="1" r:id="rId1"/>
    <sheet name="Pessimistic" sheetId="2" r:id="rId2"/>
    <sheet name="Optimisti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6" i="3" l="1"/>
  <c r="L56" i="3"/>
  <c r="K56" i="3"/>
  <c r="J56" i="3"/>
  <c r="I56" i="3"/>
  <c r="H56" i="3"/>
  <c r="G56" i="3"/>
  <c r="F56" i="3"/>
  <c r="E56" i="3"/>
  <c r="D56" i="3"/>
  <c r="C56" i="3"/>
  <c r="B56" i="3"/>
  <c r="N56" i="3" s="1"/>
  <c r="M55" i="3"/>
  <c r="L55" i="3"/>
  <c r="K55" i="3"/>
  <c r="J55" i="3"/>
  <c r="I55" i="3"/>
  <c r="H55" i="3"/>
  <c r="G55" i="3"/>
  <c r="F55" i="3"/>
  <c r="E55" i="3"/>
  <c r="D55" i="3"/>
  <c r="C55" i="3"/>
  <c r="B55" i="3"/>
  <c r="N55" i="3" s="1"/>
  <c r="M54" i="3"/>
  <c r="L54" i="3"/>
  <c r="K54" i="3"/>
  <c r="J54" i="3"/>
  <c r="I54" i="3"/>
  <c r="H54" i="3"/>
  <c r="G54" i="3"/>
  <c r="F54" i="3"/>
  <c r="N54" i="3" s="1"/>
  <c r="E54" i="3"/>
  <c r="D54" i="3"/>
  <c r="C54" i="3"/>
  <c r="B54" i="3"/>
  <c r="M53" i="3"/>
  <c r="L53" i="3"/>
  <c r="K53" i="3"/>
  <c r="J53" i="3"/>
  <c r="I53" i="3"/>
  <c r="H53" i="3"/>
  <c r="G53" i="3"/>
  <c r="F53" i="3"/>
  <c r="E53" i="3"/>
  <c r="D53" i="3"/>
  <c r="C53" i="3"/>
  <c r="B53" i="3"/>
  <c r="M52" i="3"/>
  <c r="M57" i="3" s="1"/>
  <c r="L52" i="3"/>
  <c r="L57" i="3" s="1"/>
  <c r="K52" i="3"/>
  <c r="J52" i="3"/>
  <c r="J57" i="3" s="1"/>
  <c r="I52" i="3"/>
  <c r="I57" i="3" s="1"/>
  <c r="H52" i="3"/>
  <c r="H57" i="3" s="1"/>
  <c r="G52" i="3"/>
  <c r="G57" i="3" s="1"/>
  <c r="F52" i="3"/>
  <c r="F57" i="3" s="1"/>
  <c r="E52" i="3"/>
  <c r="E57" i="3" s="1"/>
  <c r="D52" i="3"/>
  <c r="D57" i="3" s="1"/>
  <c r="C52" i="3"/>
  <c r="C57" i="3" s="1"/>
  <c r="B52" i="3"/>
  <c r="M41" i="3"/>
  <c r="L41" i="3"/>
  <c r="K41" i="3"/>
  <c r="J41" i="3"/>
  <c r="I41" i="3"/>
  <c r="H41" i="3"/>
  <c r="G41" i="3"/>
  <c r="F41" i="3"/>
  <c r="E41" i="3"/>
  <c r="D41" i="3"/>
  <c r="C41" i="3"/>
  <c r="B41" i="3"/>
  <c r="B40" i="3"/>
  <c r="B31" i="3"/>
  <c r="B65" i="3" s="1"/>
  <c r="M29" i="3"/>
  <c r="L29" i="3"/>
  <c r="K29" i="3"/>
  <c r="J29" i="3"/>
  <c r="I29" i="3"/>
  <c r="H29" i="3"/>
  <c r="G29" i="3"/>
  <c r="F29" i="3"/>
  <c r="E29" i="3"/>
  <c r="D29" i="3"/>
  <c r="C29" i="3"/>
  <c r="N28" i="3"/>
  <c r="I57" i="2"/>
  <c r="M56" i="2"/>
  <c r="L56" i="2"/>
  <c r="K56" i="2"/>
  <c r="J56" i="2"/>
  <c r="I56" i="2"/>
  <c r="H56" i="2"/>
  <c r="G56" i="2"/>
  <c r="F56" i="2"/>
  <c r="E56" i="2"/>
  <c r="D56" i="2"/>
  <c r="C56" i="2"/>
  <c r="C57" i="2" s="1"/>
  <c r="B56" i="2"/>
  <c r="M55" i="2"/>
  <c r="L55" i="2"/>
  <c r="K55" i="2"/>
  <c r="J55" i="2"/>
  <c r="I55" i="2"/>
  <c r="H55" i="2"/>
  <c r="H57" i="2" s="1"/>
  <c r="G55" i="2"/>
  <c r="F55" i="2"/>
  <c r="E55" i="2"/>
  <c r="D55" i="2"/>
  <c r="C55" i="2"/>
  <c r="B55" i="2"/>
  <c r="M54" i="2"/>
  <c r="L54" i="2"/>
  <c r="K54" i="2"/>
  <c r="J54" i="2"/>
  <c r="I54" i="2"/>
  <c r="H54" i="2"/>
  <c r="G54" i="2"/>
  <c r="F54" i="2"/>
  <c r="E54" i="2"/>
  <c r="D54" i="2"/>
  <c r="C54" i="2"/>
  <c r="B54" i="2"/>
  <c r="M53" i="2"/>
  <c r="M57" i="2" s="1"/>
  <c r="L53" i="2"/>
  <c r="K53" i="2"/>
  <c r="J53" i="2"/>
  <c r="I53" i="2"/>
  <c r="H53" i="2"/>
  <c r="G53" i="2"/>
  <c r="G57" i="2" s="1"/>
  <c r="F53" i="2"/>
  <c r="E53" i="2"/>
  <c r="E57" i="2" s="1"/>
  <c r="D53" i="2"/>
  <c r="C53" i="2"/>
  <c r="B53" i="2"/>
  <c r="M52" i="2"/>
  <c r="L52" i="2"/>
  <c r="K52" i="2"/>
  <c r="J52" i="2"/>
  <c r="J57" i="2" s="1"/>
  <c r="I52" i="2"/>
  <c r="H52" i="2"/>
  <c r="G52" i="2"/>
  <c r="F52" i="2"/>
  <c r="F57" i="2" s="1"/>
  <c r="E52" i="2"/>
  <c r="D52" i="2"/>
  <c r="D57" i="2" s="1"/>
  <c r="C52" i="2"/>
  <c r="B52" i="2"/>
  <c r="B57" i="2" s="1"/>
  <c r="M41" i="2"/>
  <c r="L41" i="2"/>
  <c r="K41" i="2"/>
  <c r="J41" i="2"/>
  <c r="I41" i="2"/>
  <c r="H41" i="2"/>
  <c r="G41" i="2"/>
  <c r="F41" i="2"/>
  <c r="E41" i="2"/>
  <c r="D41" i="2"/>
  <c r="C41" i="2"/>
  <c r="B41" i="2"/>
  <c r="B40" i="2"/>
  <c r="B31" i="2"/>
  <c r="M29" i="2"/>
  <c r="L29" i="2"/>
  <c r="K29" i="2"/>
  <c r="J29" i="2"/>
  <c r="I29" i="2"/>
  <c r="H29" i="2"/>
  <c r="G29" i="2"/>
  <c r="F29" i="2"/>
  <c r="E29" i="2"/>
  <c r="D29" i="2"/>
  <c r="C29" i="2"/>
  <c r="N28" i="2"/>
  <c r="M57" i="1"/>
  <c r="J57" i="1"/>
  <c r="B57" i="1"/>
  <c r="M56" i="1"/>
  <c r="L56" i="1"/>
  <c r="K56" i="1"/>
  <c r="J56" i="1"/>
  <c r="I56" i="1"/>
  <c r="H56" i="1"/>
  <c r="G56" i="1"/>
  <c r="F56" i="1"/>
  <c r="N56" i="1" s="1"/>
  <c r="E56" i="1"/>
  <c r="D56" i="1"/>
  <c r="C56" i="1"/>
  <c r="B56" i="1"/>
  <c r="M55" i="1"/>
  <c r="L55" i="1"/>
  <c r="K55" i="1"/>
  <c r="J55" i="1"/>
  <c r="I55" i="1"/>
  <c r="H55" i="1"/>
  <c r="G55" i="1"/>
  <c r="F55" i="1"/>
  <c r="E55" i="1"/>
  <c r="D55" i="1"/>
  <c r="C55" i="1"/>
  <c r="B55" i="1"/>
  <c r="M54" i="1"/>
  <c r="L54" i="1"/>
  <c r="K54" i="1"/>
  <c r="J54" i="1"/>
  <c r="I54" i="1"/>
  <c r="H54" i="1"/>
  <c r="G54" i="1"/>
  <c r="F54" i="1"/>
  <c r="E54" i="1"/>
  <c r="D54" i="1"/>
  <c r="C54" i="1"/>
  <c r="B54" i="1"/>
  <c r="M53" i="1"/>
  <c r="L53" i="1"/>
  <c r="K53" i="1"/>
  <c r="J53" i="1"/>
  <c r="I53" i="1"/>
  <c r="H53" i="1"/>
  <c r="G53" i="1"/>
  <c r="F53" i="1"/>
  <c r="E53" i="1"/>
  <c r="E57" i="1" s="1"/>
  <c r="D53" i="1"/>
  <c r="C53" i="1"/>
  <c r="B53" i="1"/>
  <c r="M52" i="1"/>
  <c r="L52" i="1"/>
  <c r="K52" i="1"/>
  <c r="J52" i="1"/>
  <c r="I52" i="1"/>
  <c r="I57" i="1" s="1"/>
  <c r="H52" i="1"/>
  <c r="G52" i="1"/>
  <c r="G57" i="1" s="1"/>
  <c r="F52" i="1"/>
  <c r="E52" i="1"/>
  <c r="D52" i="1"/>
  <c r="C52" i="1"/>
  <c r="B52" i="1"/>
  <c r="M41" i="1"/>
  <c r="L41" i="1"/>
  <c r="K41" i="1"/>
  <c r="J41" i="1"/>
  <c r="I41" i="1"/>
  <c r="H41" i="1"/>
  <c r="G41" i="1"/>
  <c r="F41" i="1"/>
  <c r="E41" i="1"/>
  <c r="N41" i="1" s="1"/>
  <c r="D41" i="1"/>
  <c r="C41" i="1"/>
  <c r="B41" i="1"/>
  <c r="B31" i="1"/>
  <c r="M29" i="1"/>
  <c r="L29" i="1"/>
  <c r="K29" i="1"/>
  <c r="J29" i="1"/>
  <c r="I29" i="1"/>
  <c r="H29" i="1"/>
  <c r="G29" i="1"/>
  <c r="F29" i="1"/>
  <c r="E29" i="1"/>
  <c r="D29" i="1"/>
  <c r="C29" i="1"/>
  <c r="N28" i="1"/>
  <c r="N55" i="1" l="1"/>
  <c r="N53" i="1"/>
  <c r="N29" i="1"/>
  <c r="F57" i="1"/>
  <c r="B65" i="1"/>
  <c r="B67" i="1"/>
  <c r="B32" i="1"/>
  <c r="B66" i="1"/>
  <c r="B35" i="1"/>
  <c r="L57" i="2"/>
  <c r="C31" i="1"/>
  <c r="C57" i="1"/>
  <c r="N57" i="1" s="1"/>
  <c r="N41" i="2"/>
  <c r="B40" i="1"/>
  <c r="N52" i="1"/>
  <c r="K57" i="1"/>
  <c r="C30" i="1"/>
  <c r="C30" i="2"/>
  <c r="B65" i="2"/>
  <c r="B67" i="2"/>
  <c r="H57" i="1"/>
  <c r="B32" i="2"/>
  <c r="B35" i="2"/>
  <c r="N54" i="2"/>
  <c r="N56" i="2"/>
  <c r="B66" i="2"/>
  <c r="B68" i="3"/>
  <c r="N41" i="3"/>
  <c r="N29" i="3"/>
  <c r="N52" i="3"/>
  <c r="B57" i="3"/>
  <c r="L57" i="1"/>
  <c r="K57" i="3"/>
  <c r="N54" i="1"/>
  <c r="N29" i="2"/>
  <c r="K57" i="2"/>
  <c r="N57" i="2" s="1"/>
  <c r="N52" i="2"/>
  <c r="D57" i="1"/>
  <c r="N53" i="2"/>
  <c r="N55" i="2"/>
  <c r="N53" i="3"/>
  <c r="B67" i="3"/>
  <c r="B35" i="3"/>
  <c r="B66" i="3"/>
  <c r="C30" i="3"/>
  <c r="B32" i="3"/>
  <c r="B68" i="2" l="1"/>
  <c r="B68" i="1"/>
  <c r="C32" i="1"/>
  <c r="C42" i="1" s="1"/>
  <c r="C40" i="1"/>
  <c r="D30" i="1"/>
  <c r="C35" i="1"/>
  <c r="D31" i="1"/>
  <c r="C31" i="3"/>
  <c r="N57" i="3"/>
  <c r="B44" i="2"/>
  <c r="B43" i="2"/>
  <c r="B36" i="2"/>
  <c r="B36" i="1"/>
  <c r="B43" i="1"/>
  <c r="B37" i="1"/>
  <c r="B44" i="1"/>
  <c r="B42" i="2"/>
  <c r="B42" i="3"/>
  <c r="B44" i="3"/>
  <c r="B43" i="3"/>
  <c r="B36" i="3"/>
  <c r="C31" i="2"/>
  <c r="B42" i="1"/>
  <c r="B45" i="3" l="1"/>
  <c r="C65" i="2"/>
  <c r="D30" i="2"/>
  <c r="C40" i="2"/>
  <c r="C35" i="2"/>
  <c r="C32" i="2"/>
  <c r="D32" i="1"/>
  <c r="D40" i="1"/>
  <c r="E30" i="1"/>
  <c r="D35" i="1"/>
  <c r="C36" i="1"/>
  <c r="C44" i="1"/>
  <c r="C43" i="1"/>
  <c r="C45" i="1" s="1"/>
  <c r="B37" i="3"/>
  <c r="B48" i="1"/>
  <c r="B49" i="1"/>
  <c r="B37" i="2"/>
  <c r="C65" i="1"/>
  <c r="B45" i="2"/>
  <c r="C32" i="3"/>
  <c r="D30" i="3"/>
  <c r="C35" i="3"/>
  <c r="C40" i="3"/>
  <c r="B45" i="1"/>
  <c r="C60" i="1" l="1"/>
  <c r="C66" i="1"/>
  <c r="C44" i="3"/>
  <c r="C36" i="3"/>
  <c r="C43" i="3"/>
  <c r="D42" i="1"/>
  <c r="B60" i="1"/>
  <c r="C42" i="3"/>
  <c r="B60" i="2"/>
  <c r="B49" i="3"/>
  <c r="B48" i="3"/>
  <c r="D45" i="1"/>
  <c r="C42" i="2"/>
  <c r="B60" i="3"/>
  <c r="B61" i="2"/>
  <c r="B49" i="2"/>
  <c r="B48" i="2"/>
  <c r="C37" i="1"/>
  <c r="E31" i="1"/>
  <c r="D31" i="2"/>
  <c r="D44" i="1"/>
  <c r="D36" i="1"/>
  <c r="D43" i="1"/>
  <c r="D37" i="1"/>
  <c r="C65" i="3"/>
  <c r="D31" i="3"/>
  <c r="D65" i="1"/>
  <c r="C37" i="2"/>
  <c r="C43" i="2"/>
  <c r="C44" i="2"/>
  <c r="C36" i="2"/>
  <c r="C37" i="3" l="1"/>
  <c r="B62" i="2"/>
  <c r="C67" i="2"/>
  <c r="C68" i="2" s="1"/>
  <c r="D60" i="1"/>
  <c r="D66" i="1"/>
  <c r="D49" i="1"/>
  <c r="D61" i="1"/>
  <c r="D48" i="1"/>
  <c r="D67" i="1"/>
  <c r="C45" i="2"/>
  <c r="C48" i="2" s="1"/>
  <c r="D68" i="1"/>
  <c r="D35" i="2"/>
  <c r="D32" i="2"/>
  <c r="D40" i="2"/>
  <c r="E30" i="2"/>
  <c r="D65" i="2"/>
  <c r="C45" i="3"/>
  <c r="F30" i="1"/>
  <c r="E40" i="1"/>
  <c r="F31" i="1"/>
  <c r="E35" i="1"/>
  <c r="E32" i="1"/>
  <c r="E30" i="3"/>
  <c r="D35" i="3"/>
  <c r="D40" i="3"/>
  <c r="E31" i="3"/>
  <c r="D32" i="3"/>
  <c r="C61" i="1"/>
  <c r="C48" i="1"/>
  <c r="C49" i="1"/>
  <c r="C67" i="1"/>
  <c r="C68" i="1" s="1"/>
  <c r="B61" i="3"/>
  <c r="B61" i="1"/>
  <c r="C49" i="2" l="1"/>
  <c r="E35" i="3"/>
  <c r="E40" i="3"/>
  <c r="F31" i="3"/>
  <c r="E32" i="3"/>
  <c r="E42" i="3" s="1"/>
  <c r="F30" i="3"/>
  <c r="E36" i="1"/>
  <c r="E37" i="1" s="1"/>
  <c r="E44" i="1"/>
  <c r="E43" i="1"/>
  <c r="D43" i="3"/>
  <c r="D44" i="3"/>
  <c r="D36" i="3"/>
  <c r="D37" i="3" s="1"/>
  <c r="D42" i="3"/>
  <c r="D42" i="2"/>
  <c r="C48" i="3"/>
  <c r="C49" i="3" s="1"/>
  <c r="C67" i="3"/>
  <c r="C68" i="3" s="1"/>
  <c r="F40" i="1"/>
  <c r="F35" i="1"/>
  <c r="F32" i="1"/>
  <c r="F42" i="1" s="1"/>
  <c r="F65" i="1"/>
  <c r="G30" i="1"/>
  <c r="G31" i="1" s="1"/>
  <c r="E65" i="1"/>
  <c r="C60" i="2"/>
  <c r="C66" i="2"/>
  <c r="B62" i="1"/>
  <c r="C62" i="1" s="1"/>
  <c r="D62" i="1" s="1"/>
  <c r="B62" i="3"/>
  <c r="D65" i="3"/>
  <c r="E42" i="1"/>
  <c r="C60" i="3"/>
  <c r="C66" i="3"/>
  <c r="D43" i="2"/>
  <c r="D36" i="2"/>
  <c r="D37" i="2"/>
  <c r="D44" i="2"/>
  <c r="E31" i="2"/>
  <c r="G35" i="1" l="1"/>
  <c r="G65" i="1"/>
  <c r="H31" i="1"/>
  <c r="G40" i="1"/>
  <c r="G32" i="1"/>
  <c r="G42" i="1" s="1"/>
  <c r="H30" i="1"/>
  <c r="F35" i="3"/>
  <c r="F40" i="3"/>
  <c r="G31" i="3"/>
  <c r="F65" i="3"/>
  <c r="F32" i="3"/>
  <c r="G30" i="3"/>
  <c r="E43" i="3"/>
  <c r="E36" i="3"/>
  <c r="E44" i="3"/>
  <c r="E45" i="3" s="1"/>
  <c r="E37" i="3"/>
  <c r="D45" i="3"/>
  <c r="D67" i="3" s="1"/>
  <c r="D68" i="3" s="1"/>
  <c r="E40" i="2"/>
  <c r="F31" i="2"/>
  <c r="E32" i="2"/>
  <c r="E65" i="2"/>
  <c r="E35" i="2"/>
  <c r="F30" i="2"/>
  <c r="D67" i="2"/>
  <c r="D68" i="2" s="1"/>
  <c r="C61" i="2"/>
  <c r="F44" i="1"/>
  <c r="F36" i="1"/>
  <c r="F43" i="1"/>
  <c r="F45" i="1" s="1"/>
  <c r="F37" i="1"/>
  <c r="D45" i="2"/>
  <c r="C61" i="3"/>
  <c r="E45" i="1"/>
  <c r="E65" i="3"/>
  <c r="E60" i="3" l="1"/>
  <c r="E66" i="3"/>
  <c r="F60" i="1"/>
  <c r="F66" i="1"/>
  <c r="F61" i="1"/>
  <c r="F48" i="1"/>
  <c r="F49" i="1" s="1"/>
  <c r="F67" i="1"/>
  <c r="F68" i="1" s="1"/>
  <c r="E60" i="1"/>
  <c r="E66" i="1"/>
  <c r="E42" i="2"/>
  <c r="E48" i="3"/>
  <c r="E61" i="3"/>
  <c r="E49" i="3"/>
  <c r="E67" i="3"/>
  <c r="E68" i="3" s="1"/>
  <c r="G40" i="3"/>
  <c r="H31" i="3"/>
  <c r="G32" i="3"/>
  <c r="G42" i="3" s="1"/>
  <c r="H30" i="3"/>
  <c r="G35" i="3"/>
  <c r="G45" i="1"/>
  <c r="H40" i="1"/>
  <c r="H35" i="1"/>
  <c r="I30" i="1"/>
  <c r="I31" i="1" s="1"/>
  <c r="H32" i="1"/>
  <c r="H42" i="1" s="1"/>
  <c r="E48" i="1"/>
  <c r="D60" i="2"/>
  <c r="D66" i="2"/>
  <c r="E67" i="1"/>
  <c r="E68" i="1" s="1"/>
  <c r="F40" i="2"/>
  <c r="F35" i="2"/>
  <c r="F32" i="2"/>
  <c r="F42" i="2" s="1"/>
  <c r="G30" i="2"/>
  <c r="G31" i="2" s="1"/>
  <c r="G44" i="1"/>
  <c r="G43" i="1"/>
  <c r="G36" i="1"/>
  <c r="G37" i="1" s="1"/>
  <c r="F43" i="3"/>
  <c r="F36" i="3"/>
  <c r="F37" i="3"/>
  <c r="F44" i="3"/>
  <c r="D60" i="3"/>
  <c r="D66" i="3"/>
  <c r="C62" i="2"/>
  <c r="D48" i="2"/>
  <c r="E36" i="2"/>
  <c r="E44" i="2"/>
  <c r="E37" i="2"/>
  <c r="E43" i="2"/>
  <c r="E45" i="2" s="1"/>
  <c r="C62" i="3"/>
  <c r="F42" i="3"/>
  <c r="F45" i="3" s="1"/>
  <c r="D48" i="3"/>
  <c r="E60" i="2" l="1"/>
  <c r="E66" i="2"/>
  <c r="G40" i="2"/>
  <c r="H31" i="2"/>
  <c r="H30" i="2"/>
  <c r="G35" i="2"/>
  <c r="G32" i="2"/>
  <c r="G42" i="2" s="1"/>
  <c r="G48" i="1"/>
  <c r="G49" i="1"/>
  <c r="G61" i="1"/>
  <c r="G67" i="1"/>
  <c r="G68" i="1" s="1"/>
  <c r="I35" i="1"/>
  <c r="J30" i="1"/>
  <c r="I40" i="1"/>
  <c r="J31" i="1"/>
  <c r="I32" i="1"/>
  <c r="I42" i="1" s="1"/>
  <c r="I65" i="1"/>
  <c r="F60" i="3"/>
  <c r="F66" i="3"/>
  <c r="G60" i="1"/>
  <c r="G66" i="1"/>
  <c r="H65" i="3"/>
  <c r="H32" i="3"/>
  <c r="I30" i="3"/>
  <c r="H35" i="3"/>
  <c r="H40" i="3"/>
  <c r="I31" i="3"/>
  <c r="D49" i="3"/>
  <c r="D61" i="2"/>
  <c r="G43" i="3"/>
  <c r="G45" i="3" s="1"/>
  <c r="G36" i="3"/>
  <c r="G37" i="3" s="1"/>
  <c r="G44" i="3"/>
  <c r="E48" i="2"/>
  <c r="E61" i="2"/>
  <c r="E49" i="2"/>
  <c r="E67" i="2"/>
  <c r="E68" i="2" s="1"/>
  <c r="D61" i="3"/>
  <c r="F43" i="2"/>
  <c r="F45" i="2" s="1"/>
  <c r="F36" i="2"/>
  <c r="F44" i="2"/>
  <c r="F37" i="2"/>
  <c r="D62" i="3"/>
  <c r="E62" i="3" s="1"/>
  <c r="F62" i="3" s="1"/>
  <c r="H45" i="1"/>
  <c r="D49" i="2"/>
  <c r="F48" i="3"/>
  <c r="F61" i="3"/>
  <c r="F49" i="3"/>
  <c r="F67" i="3"/>
  <c r="F68" i="3" s="1"/>
  <c r="E49" i="1"/>
  <c r="H43" i="1"/>
  <c r="H44" i="1"/>
  <c r="H36" i="1"/>
  <c r="H37" i="1" s="1"/>
  <c r="E61" i="1"/>
  <c r="D62" i="2"/>
  <c r="E62" i="2" s="1"/>
  <c r="F65" i="2"/>
  <c r="H65" i="1"/>
  <c r="G65" i="3"/>
  <c r="G48" i="3" l="1"/>
  <c r="G49" i="3"/>
  <c r="G67" i="3"/>
  <c r="G60" i="3"/>
  <c r="G61" i="3" s="1"/>
  <c r="G62" i="3" s="1"/>
  <c r="G66" i="3"/>
  <c r="F60" i="2"/>
  <c r="F66" i="2"/>
  <c r="H61" i="1"/>
  <c r="H49" i="1"/>
  <c r="H48" i="1"/>
  <c r="H67" i="1"/>
  <c r="H60" i="1"/>
  <c r="H66" i="1"/>
  <c r="E62" i="1"/>
  <c r="F62" i="1" s="1"/>
  <c r="G62" i="1" s="1"/>
  <c r="H62" i="1" s="1"/>
  <c r="H40" i="2"/>
  <c r="H35" i="2"/>
  <c r="H65" i="2" s="1"/>
  <c r="H32" i="2"/>
  <c r="H42" i="2" s="1"/>
  <c r="I30" i="2"/>
  <c r="I31" i="2" s="1"/>
  <c r="I32" i="3"/>
  <c r="I42" i="3" s="1"/>
  <c r="J30" i="3"/>
  <c r="I40" i="3"/>
  <c r="J31" i="3"/>
  <c r="I35" i="3"/>
  <c r="H45" i="3"/>
  <c r="K30" i="1"/>
  <c r="J32" i="1"/>
  <c r="J42" i="1" s="1"/>
  <c r="K31" i="1"/>
  <c r="J40" i="1"/>
  <c r="J35" i="1"/>
  <c r="F61" i="2"/>
  <c r="F48" i="2"/>
  <c r="F49" i="2" s="1"/>
  <c r="F67" i="2"/>
  <c r="F68" i="2" s="1"/>
  <c r="H43" i="3"/>
  <c r="H36" i="3"/>
  <c r="H44" i="3"/>
  <c r="H37" i="3"/>
  <c r="G68" i="3"/>
  <c r="H68" i="1"/>
  <c r="G36" i="2"/>
  <c r="G43" i="2"/>
  <c r="G45" i="2" s="1"/>
  <c r="G44" i="2"/>
  <c r="G37" i="2"/>
  <c r="F62" i="2"/>
  <c r="H42" i="3"/>
  <c r="I43" i="1"/>
  <c r="I45" i="1" s="1"/>
  <c r="I44" i="1"/>
  <c r="I36" i="1"/>
  <c r="I37" i="1" s="1"/>
  <c r="G65" i="2"/>
  <c r="I48" i="1" l="1"/>
  <c r="I49" i="1"/>
  <c r="I67" i="1"/>
  <c r="I68" i="1" s="1"/>
  <c r="G60" i="2"/>
  <c r="G61" i="2" s="1"/>
  <c r="G66" i="2"/>
  <c r="I60" i="1"/>
  <c r="I61" i="1" s="1"/>
  <c r="I66" i="1"/>
  <c r="I32" i="2"/>
  <c r="I42" i="2" s="1"/>
  <c r="I35" i="2"/>
  <c r="I40" i="2"/>
  <c r="I65" i="2"/>
  <c r="J30" i="2"/>
  <c r="J31" i="2"/>
  <c r="J36" i="1"/>
  <c r="J37" i="1"/>
  <c r="J43" i="1"/>
  <c r="J45" i="1" s="1"/>
  <c r="J44" i="1"/>
  <c r="H60" i="3"/>
  <c r="H61" i="3" s="1"/>
  <c r="H62" i="3" s="1"/>
  <c r="H66" i="3"/>
  <c r="I36" i="3"/>
  <c r="I37" i="3" s="1"/>
  <c r="I44" i="3"/>
  <c r="I43" i="3"/>
  <c r="I45" i="3" s="1"/>
  <c r="J65" i="3"/>
  <c r="J32" i="3"/>
  <c r="J42" i="3" s="1"/>
  <c r="K30" i="3"/>
  <c r="K31" i="3" s="1"/>
  <c r="J35" i="3"/>
  <c r="J40" i="3"/>
  <c r="H48" i="3"/>
  <c r="H49" i="3" s="1"/>
  <c r="H67" i="3"/>
  <c r="H68" i="3" s="1"/>
  <c r="G48" i="2"/>
  <c r="G49" i="2"/>
  <c r="G67" i="2"/>
  <c r="K32" i="1"/>
  <c r="K42" i="1" s="1"/>
  <c r="K35" i="1"/>
  <c r="K40" i="1"/>
  <c r="L30" i="1"/>
  <c r="L31" i="1" s="1"/>
  <c r="H44" i="2"/>
  <c r="H43" i="2"/>
  <c r="H45" i="2" s="1"/>
  <c r="H36" i="2"/>
  <c r="H37" i="2" s="1"/>
  <c r="G68" i="2"/>
  <c r="J65" i="1"/>
  <c r="I65" i="3"/>
  <c r="J60" i="1" l="1"/>
  <c r="J66" i="1"/>
  <c r="I62" i="1"/>
  <c r="H60" i="2"/>
  <c r="H61" i="2" s="1"/>
  <c r="H66" i="2"/>
  <c r="I60" i="3"/>
  <c r="I61" i="3" s="1"/>
  <c r="I62" i="3" s="1"/>
  <c r="I66" i="3"/>
  <c r="G62" i="2"/>
  <c r="H48" i="2"/>
  <c r="H49" i="2" s="1"/>
  <c r="H67" i="2"/>
  <c r="H68" i="2" s="1"/>
  <c r="L32" i="1"/>
  <c r="L42" i="1" s="1"/>
  <c r="L40" i="1"/>
  <c r="M30" i="1"/>
  <c r="N30" i="1" s="1"/>
  <c r="L35" i="1"/>
  <c r="M31" i="1"/>
  <c r="I48" i="3"/>
  <c r="I49" i="3" s="1"/>
  <c r="I67" i="3"/>
  <c r="K32" i="3"/>
  <c r="K42" i="3" s="1"/>
  <c r="L30" i="3"/>
  <c r="L31" i="3" s="1"/>
  <c r="K35" i="3"/>
  <c r="K65" i="3" s="1"/>
  <c r="K40" i="3"/>
  <c r="K43" i="1"/>
  <c r="K45" i="1" s="1"/>
  <c r="K36" i="1"/>
  <c r="K37" i="1" s="1"/>
  <c r="K44" i="1"/>
  <c r="I44" i="2"/>
  <c r="I43" i="2"/>
  <c r="I45" i="2" s="1"/>
  <c r="I36" i="2"/>
  <c r="I37" i="2" s="1"/>
  <c r="K65" i="1"/>
  <c r="K30" i="2"/>
  <c r="J35" i="2"/>
  <c r="J65" i="2"/>
  <c r="J32" i="2"/>
  <c r="J42" i="2" s="1"/>
  <c r="K31" i="2"/>
  <c r="J40" i="2"/>
  <c r="J61" i="1"/>
  <c r="J48" i="1"/>
  <c r="J49" i="1"/>
  <c r="J67" i="1"/>
  <c r="J68" i="1" s="1"/>
  <c r="J44" i="3"/>
  <c r="J37" i="3"/>
  <c r="J43" i="3"/>
  <c r="J45" i="3" s="1"/>
  <c r="J36" i="3"/>
  <c r="I68" i="3"/>
  <c r="K48" i="1" l="1"/>
  <c r="K49" i="1"/>
  <c r="K67" i="1"/>
  <c r="K60" i="1"/>
  <c r="K61" i="1" s="1"/>
  <c r="K66" i="1"/>
  <c r="M30" i="3"/>
  <c r="N30" i="3" s="1"/>
  <c r="L35" i="3"/>
  <c r="L40" i="3"/>
  <c r="M31" i="3"/>
  <c r="L65" i="3"/>
  <c r="L32" i="3"/>
  <c r="L42" i="3" s="1"/>
  <c r="I60" i="2"/>
  <c r="I61" i="2" s="1"/>
  <c r="I66" i="2"/>
  <c r="I48" i="2"/>
  <c r="I49" i="2" s="1"/>
  <c r="I67" i="2"/>
  <c r="I68" i="2" s="1"/>
  <c r="J60" i="3"/>
  <c r="J66" i="3"/>
  <c r="L44" i="1"/>
  <c r="L36" i="1"/>
  <c r="L37" i="1" s="1"/>
  <c r="L43" i="1"/>
  <c r="L65" i="1"/>
  <c r="M32" i="1"/>
  <c r="M40" i="1"/>
  <c r="N31" i="1"/>
  <c r="M35" i="1"/>
  <c r="J44" i="2"/>
  <c r="J43" i="2"/>
  <c r="J36" i="2"/>
  <c r="J37" i="2" s="1"/>
  <c r="J62" i="1"/>
  <c r="J45" i="2"/>
  <c r="K44" i="3"/>
  <c r="K45" i="3" s="1"/>
  <c r="K36" i="3"/>
  <c r="K37" i="3" s="1"/>
  <c r="K43" i="3"/>
  <c r="J61" i="3"/>
  <c r="J62" i="3" s="1"/>
  <c r="J48" i="3"/>
  <c r="J49" i="3" s="1"/>
  <c r="J67" i="3"/>
  <c r="J68" i="3" s="1"/>
  <c r="L30" i="2"/>
  <c r="K35" i="2"/>
  <c r="K32" i="2"/>
  <c r="K42" i="2" s="1"/>
  <c r="L31" i="2"/>
  <c r="K40" i="2"/>
  <c r="K65" i="2"/>
  <c r="K68" i="1"/>
  <c r="L45" i="1"/>
  <c r="H62" i="2"/>
  <c r="J48" i="2" l="1"/>
  <c r="J49" i="2" s="1"/>
  <c r="J67" i="2"/>
  <c r="J68" i="2" s="1"/>
  <c r="L48" i="1"/>
  <c r="L49" i="1" s="1"/>
  <c r="L61" i="1"/>
  <c r="L67" i="1"/>
  <c r="L68" i="1" s="1"/>
  <c r="K48" i="3"/>
  <c r="K49" i="3" s="1"/>
  <c r="K67" i="3"/>
  <c r="K68" i="3" s="1"/>
  <c r="K60" i="3"/>
  <c r="K61" i="3" s="1"/>
  <c r="K62" i="3" s="1"/>
  <c r="K66" i="3"/>
  <c r="L35" i="2"/>
  <c r="M30" i="2"/>
  <c r="N30" i="2" s="1"/>
  <c r="L32" i="2"/>
  <c r="L42" i="2" s="1"/>
  <c r="M31" i="2"/>
  <c r="L40" i="2"/>
  <c r="M42" i="1"/>
  <c r="N42" i="1" s="1"/>
  <c r="N32" i="1"/>
  <c r="I62" i="2"/>
  <c r="K37" i="2"/>
  <c r="K44" i="2"/>
  <c r="K45" i="2" s="1"/>
  <c r="K43" i="2"/>
  <c r="K36" i="2"/>
  <c r="L60" i="1"/>
  <c r="L66" i="1"/>
  <c r="M44" i="1"/>
  <c r="N44" i="1" s="1"/>
  <c r="M36" i="1"/>
  <c r="N36" i="1" s="1"/>
  <c r="M43" i="1"/>
  <c r="N43" i="1" s="1"/>
  <c r="N35" i="1"/>
  <c r="M35" i="3"/>
  <c r="M40" i="3"/>
  <c r="N31" i="3"/>
  <c r="M65" i="3"/>
  <c r="M32" i="3"/>
  <c r="J60" i="2"/>
  <c r="J61" i="2" s="1"/>
  <c r="J66" i="2"/>
  <c r="N40" i="1"/>
  <c r="L43" i="3"/>
  <c r="L45" i="3" s="1"/>
  <c r="L36" i="3"/>
  <c r="L37" i="3" s="1"/>
  <c r="L44" i="3"/>
  <c r="K62" i="1"/>
  <c r="M65" i="1"/>
  <c r="L48" i="3" l="1"/>
  <c r="L49" i="3" s="1"/>
  <c r="L67" i="3"/>
  <c r="L68" i="3" s="1"/>
  <c r="K60" i="2"/>
  <c r="K61" i="2" s="1"/>
  <c r="K66" i="2"/>
  <c r="L60" i="3"/>
  <c r="L61" i="3" s="1"/>
  <c r="L62" i="3" s="1"/>
  <c r="L66" i="3"/>
  <c r="L43" i="2"/>
  <c r="L45" i="2" s="1"/>
  <c r="L36" i="2"/>
  <c r="L37" i="2" s="1"/>
  <c r="L44" i="2"/>
  <c r="J62" i="2"/>
  <c r="N40" i="3"/>
  <c r="K48" i="2"/>
  <c r="K49" i="2"/>
  <c r="K67" i="2"/>
  <c r="K68" i="2" s="1"/>
  <c r="N65" i="1"/>
  <c r="M45" i="1"/>
  <c r="M43" i="3"/>
  <c r="N43" i="3" s="1"/>
  <c r="M36" i="3"/>
  <c r="N36" i="3" s="1"/>
  <c r="M44" i="3"/>
  <c r="N44" i="3" s="1"/>
  <c r="M37" i="3"/>
  <c r="N35" i="3"/>
  <c r="L65" i="2"/>
  <c r="L62" i="1"/>
  <c r="M42" i="3"/>
  <c r="N42" i="3" s="1"/>
  <c r="N32" i="3"/>
  <c r="N65" i="3"/>
  <c r="M40" i="2"/>
  <c r="N31" i="2"/>
  <c r="M65" i="2"/>
  <c r="M32" i="2"/>
  <c r="M35" i="2"/>
  <c r="M37" i="1"/>
  <c r="L48" i="2" l="1"/>
  <c r="L49" i="2" s="1"/>
  <c r="L67" i="2"/>
  <c r="L60" i="2"/>
  <c r="L61" i="2" s="1"/>
  <c r="L66" i="2"/>
  <c r="M60" i="1"/>
  <c r="N60" i="1" s="1"/>
  <c r="N45" i="1"/>
  <c r="M66" i="1"/>
  <c r="K62" i="2"/>
  <c r="N65" i="2"/>
  <c r="M45" i="3"/>
  <c r="L68" i="2"/>
  <c r="M45" i="2"/>
  <c r="N40" i="2"/>
  <c r="M43" i="2"/>
  <c r="N43" i="2" s="1"/>
  <c r="M44" i="2"/>
  <c r="N44" i="2" s="1"/>
  <c r="M36" i="2"/>
  <c r="N36" i="2" s="1"/>
  <c r="N35" i="2"/>
  <c r="M42" i="2"/>
  <c r="N42" i="2" s="1"/>
  <c r="N32" i="2"/>
  <c r="M48" i="1"/>
  <c r="N48" i="1" s="1"/>
  <c r="N37" i="1"/>
  <c r="M67" i="1"/>
  <c r="M68" i="1" s="1"/>
  <c r="M48" i="3"/>
  <c r="N48" i="3" s="1"/>
  <c r="M49" i="3"/>
  <c r="N49" i="3" s="1"/>
  <c r="N37" i="3"/>
  <c r="M60" i="2" l="1"/>
  <c r="N60" i="2" s="1"/>
  <c r="N45" i="2"/>
  <c r="M66" i="2"/>
  <c r="M60" i="3"/>
  <c r="N45" i="3"/>
  <c r="M66" i="3"/>
  <c r="M61" i="1"/>
  <c r="M37" i="2"/>
  <c r="L62" i="2"/>
  <c r="M67" i="3"/>
  <c r="M68" i="3" s="1"/>
  <c r="M49" i="1"/>
  <c r="N49" i="1" s="1"/>
  <c r="N60" i="3" l="1"/>
  <c r="M61" i="3"/>
  <c r="M48" i="2"/>
  <c r="N48" i="2" s="1"/>
  <c r="M61" i="2"/>
  <c r="N61" i="2" s="1"/>
  <c r="N37" i="2"/>
  <c r="M67" i="2"/>
  <c r="M68" i="2" s="1"/>
  <c r="N61" i="1"/>
  <c r="M62" i="1"/>
  <c r="N62" i="1" s="1"/>
  <c r="N61" i="3" l="1"/>
  <c r="M62" i="3"/>
  <c r="N62" i="3" s="1"/>
  <c r="M49" i="2"/>
  <c r="N49" i="2" s="1"/>
  <c r="M62" i="2"/>
  <c r="N62" i="2" s="1"/>
</calcChain>
</file>

<file path=xl/sharedStrings.xml><?xml version="1.0" encoding="utf-8"?>
<sst xmlns="http://schemas.openxmlformats.org/spreadsheetml/2006/main" count="423" uniqueCount="156">
  <si>
    <t>AI Styling App: Year 1 Financial Model (Base Scenario)</t>
  </si>
  <si>
    <t>BUS 395: Venture Creation with AI  |  Jane Dias  |  Organic growth · 10% trial conversion · 6-month retention · $7/month hypothesis</t>
  </si>
  <si>
    <t>ASSUMPTIONS: Change values in yellow cells to model different scenarios. All other cells are formula-driven.</t>
  </si>
  <si>
    <t>Parameter</t>
  </si>
  <si>
    <t>Value</t>
  </si>
  <si>
    <t>Unit</t>
  </si>
  <si>
    <t>Source / Note: [GROUNDED]=from data · [ESTIMATE]=benchmark · [ASSUMPTION]=untested</t>
  </si>
  <si>
    <t>Subscription price</t>
  </si>
  <si>
    <t>$/month</t>
  </si>
  <si>
    <t>ASSUMPTION: unvalidated; competitive floor is $8–13/month; $7 may be too low</t>
  </si>
  <si>
    <t>Stripe processing fee (%)</t>
  </si>
  <si>
    <t>%</t>
  </si>
  <si>
    <t>GROUNDED: Stripe published pricing (2.9%)</t>
  </si>
  <si>
    <t>Stripe processing fee (fixed)</t>
  </si>
  <si>
    <t>$/transaction</t>
  </si>
  <si>
    <t>GROUNDED: Stripe published pricing ($0.30 per charge)</t>
  </si>
  <si>
    <t>Trial-to-paid conversion rate</t>
  </si>
  <si>
    <t>ASSUMPTION: SaaS median 5–15%; must validate at first paywall moment</t>
  </si>
  <si>
    <t>Monthly subscriber churn rate</t>
  </si>
  <si>
    <t>ASSUMPTION: implies ~6-month avg retention; fashion apps churn high per BMC</t>
  </si>
  <si>
    <t>LLM inference cost per photo</t>
  </si>
  <si>
    <t>$/photo</t>
  </si>
  <si>
    <t>ESTIMATE: based on Claude Sonnet token pricing (~$0.027 computed from token rates)</t>
  </si>
  <si>
    <t>Photos per paying user per month</t>
  </si>
  <si>
    <t>photos</t>
  </si>
  <si>
    <t>ASSUMPTION: 2 shopping trips (15 photos each) + outfit checks + events; ask in next interviews</t>
  </si>
  <si>
    <t>Photos per free trial session</t>
  </si>
  <si>
    <t>ASSUMPTION: ask 5 users to count photos on next shopping trip</t>
  </si>
  <si>
    <t>Sessions in free trial period</t>
  </si>
  <si>
    <t>sessions</t>
  </si>
  <si>
    <t>Product design decision</t>
  </si>
  <si>
    <t>Variable infrastructure per active user</t>
  </si>
  <si>
    <t>$/user/month</t>
  </si>
  <si>
    <t>ESTIMATE: marginal AWS cost per user above fixed base</t>
  </si>
  <si>
    <t>Refund &amp; chargeback rate</t>
  </si>
  <si>
    <t>% of gross</t>
  </si>
  <si>
    <t>ASSUMPTION: typical range 1–3%; Stripe charges $15/chargeback regardless of amount</t>
  </si>
  <si>
    <t>Your hourly rate</t>
  </si>
  <si>
    <t>$/hour</t>
  </si>
  <si>
    <t>Per course instruction</t>
  </si>
  <si>
    <t>Hours per month (all founder activities, incl. content creation)</t>
  </si>
  <si>
    <t>hrs/month</t>
  </si>
  <si>
    <t>ASSUMPTION: support 2h + content 3h + maintenance 3h + admin 1h; track in beta</t>
  </si>
  <si>
    <t>Insurance (cyber + general + E&amp;O</t>
  </si>
  <si>
    <t>ESTIMATE: midpoint $130–200; cyber required for app storing user photos</t>
  </si>
  <si>
    <t>Software tools + LLC annual fees</t>
  </si>
  <si>
    <t>ESTIMATE: domain $1.25 + Figma $15 + LLC annual filing ~$15/mo</t>
  </si>
  <si>
    <t>Base infrastructure (server + DB)</t>
  </si>
  <si>
    <t>ESTIMATE: AWS t3.medium + RDS t3.micro; fixed until ~1,000 users</t>
  </si>
  <si>
    <t>Legal / compliance (amortized)</t>
  </si>
  <si>
    <t>ESTIMATE: TOS + privacy policy legal review amortized over year 1</t>
  </si>
  <si>
    <t>Content creation (consolidated into founder hours above)</t>
  </si>
  <si>
    <t>ASSUMPTION: 30 hrs/month × $15/hr; primary driver of trial signups per unit-economics.md; labeled CAC spend but is real founder time</t>
  </si>
  <si>
    <t>BASE SCENARIO: MONTHLY PROJECTION  (Year 1)</t>
  </si>
  <si>
    <t>Line Item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</si>
  <si>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</si>
  <si>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</si>
  <si>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</si>
  <si>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</si>
  <si>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</si>
  <si>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</si>
  <si>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</si>
  <si>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</si>
  <si>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</si>
  <si>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</si>
  <si>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</si>
  <si>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</si>
  <si>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Year Total</t>
  </si>
  <si>
    <t>Comments</t>
  </si>
  <si>
    <t xml:space="preserve">  CUSTOMER METRICS</t>
  </si>
  <si>
    <t xml:space="preserve">    New trial signups (inputs)</t>
  </si>
  <si>
    <t>INPUTS (yellow): change these to model faster or slower growth</t>
  </si>
  <si>
    <t xml:space="preserve">    New paying subscribers (converts)</t>
  </si>
  <si>
    <t>Prior month's trial signups × conversion rate; 1-month lag (users need time to complete 8 sessions)</t>
  </si>
  <si>
    <t xml:space="preserve">    Subscribers lost to churn</t>
  </si>
  <si>
    <t>Prior month's paying subscribers × 16.7% monthly churn = ~1 in 6 subscribers leaves each month</t>
  </si>
  <si>
    <t>Total paying subscribers (end of month)</t>
  </si>
  <si>
    <t>Paying subs (end of month) = prior subs + new converts − churned; capped at zero</t>
  </si>
  <si>
    <t xml:space="preserve">    Active users (trial + paid)</t>
  </si>
  <si>
    <t>All users consuming LLM inference: paying subscribers + new trial signups entering this month</t>
  </si>
  <si>
    <t xml:space="preserve">  REVENUE</t>
  </si>
  <si>
    <t xml:space="preserve">    Gross subscription revenue</t>
  </si>
  <si>
    <t>Paying subscribers × $7/month: the unvalidated price point; model at $10 to see how math improves</t>
  </si>
  <si>
    <t xml:space="preserve">      (less) Stripe processing fees</t>
  </si>
  <si>
    <t>Stripe: 2.9% of charge + $0.30 per transaction; shown as negative (cash leaving)</t>
  </si>
  <si>
    <t>Net subscription revenue</t>
  </si>
  <si>
    <t>What arrives in your bank account after Stripe takes its cut</t>
  </si>
  <si>
    <t xml:space="preserve">  VARIABLE COSTS  (scale with user count)</t>
  </si>
  <si>
    <t xml:space="preserve">    LLM inference: paying users</t>
  </si>
  <si>
    <t>Paying users × 43 photos/month × $0.03/photo: core product cost, scales with usage</t>
  </si>
  <si>
    <t xml:space="preserve">    LLM inference: free trial users</t>
  </si>
  <si>
    <t>Trial users × 8 sessions × 5 photos × $0.03: trial users cost money even if they never convert</t>
  </si>
  <si>
    <t xml:space="preserve">    Variable infrastructure (per active user)</t>
  </si>
  <si>
    <t>All active users (trial + paid) × $0.25: marginal AWS bandwidth/compute per user</t>
  </si>
  <si>
    <t xml:space="preserve">    Refunds &amp; chargebacks</t>
  </si>
  <si>
    <t>2% of gross revenue: Stripe keeps transaction fees on refunds; chargebacks cost $15 each regardless</t>
  </si>
  <si>
    <t xml:space="preserve">    Stripe Tax fee (SaaS sales tax collection 0.5%)</t>
  </si>
  <si>
    <t>Stripe Tax service fee (0.5%) to collect and remit SaaS sales tax; legally required in 30+ US states</t>
  </si>
  <si>
    <t>TOTAL VARIABLE COSTS</t>
  </si>
  <si>
    <t>Total costs that scale with your user base: LLM costs dominate</t>
  </si>
  <si>
    <t xml:space="preserve">  GROSS PROFIT</t>
  </si>
  <si>
    <t>Gross profit</t>
  </si>
  <si>
    <t>Net revenue minus variable costs: what remains to cover fixed overhead; negative until scale</t>
  </si>
  <si>
    <t xml:space="preserve">    Gross margin %</t>
  </si>
  <si>
    <t>Gross margin % = gross profit ÷ net revenue; should reach 50%+ at sustainable scale</t>
  </si>
  <si>
    <t xml:space="preserve">  FIXED COSTS  (same every month regardless of user count)</t>
  </si>
  <si>
    <t>Founder labor (all activities)</t>
  </si>
  <si>
    <t>All founder time at $15/hr × monthly hours (row 18): product, ops, admin, and content creation combined</t>
  </si>
  <si>
    <t xml:space="preserve">    Base infrastructure (server + database)</t>
  </si>
  <si>
    <t>AWS server + database: largely fixed until ~1,000 users; $70/month regardless of user count</t>
  </si>
  <si>
    <t xml:space="preserve">    Legal / compliance (amortized)</t>
  </si>
  <si>
    <t>Privacy policy + TOS legal review amortized across year 1; GDPR/CCPA compliance setup</t>
  </si>
  <si>
    <t xml:space="preserve">    Insurance (cyber + general + E&amp;O</t>
  </si>
  <si>
    <t>Cyber liability (photo data), general liability, professional liability (E&amp;O for advice product): required</t>
  </si>
  <si>
    <t xml:space="preserve">    Software tools + LLC fees</t>
  </si>
  <si>
    <t>Domain name, Figma design tool, LLC annual state filing fees: previously missing from model</t>
  </si>
  <si>
    <t>TOTAL FIXED COSTS</t>
  </si>
  <si>
    <t>Monthly overhead that exists regardless of whether you have 1 or 1,000 users</t>
  </si>
  <si>
    <t xml:space="preserve">  OPERATING RESULT</t>
  </si>
  <si>
    <t>Total operating costs</t>
  </si>
  <si>
    <t>Total cash out the door each month: variable (scales with users) + fixed (always there)</t>
  </si>
  <si>
    <t>OPERATING INCOME (LOSS)</t>
  </si>
  <si>
    <t>Net revenue − total costs; negative = burning cash this month; watch the trend, not just the number</t>
  </si>
  <si>
    <t>Cumulative cash position</t>
  </si>
  <si>
    <t>Running total of cash position: shows how much funding you need to reach break-even</t>
  </si>
  <si>
    <t xml:space="preserve">  UNIT ECONOMICS  (per paying customer per month)</t>
  </si>
  <si>
    <t xml:space="preserve">    Revenue per paying customer</t>
  </si>
  <si>
    <t xml:space="preserve">    Variable cost per paying customer</t>
  </si>
  <si>
    <t>Variable costs ÷ paying subscribers; shows direct cost of serving one paying user this month</t>
  </si>
  <si>
    <t>Contribution margin per customer</t>
  </si>
  <si>
    <t>Revenue per customer minus variable cost per customer; contribution toward fixed costs</t>
  </si>
  <si>
    <t xml:space="preserve">    Contribution margin %</t>
  </si>
  <si>
    <t>What % of each revenue dollar survives after variable costs: must be high enough to cover fixed costs</t>
  </si>
  <si>
    <t>AI Styling App: Year 1 Financial Model (Pessimistic Scenario)</t>
  </si>
  <si>
    <t>BUS 395  |  Jane Dias  |  Slow adoption · 5% conversion · 25% monthly churn · heavier costs · $7/month</t>
  </si>
  <si>
    <t>ASSUMPTION: 5% conversion; most trial users hit the paywall and leave; paywall resistance is higher than expected</t>
  </si>
  <si>
    <t>ASSUMPTION: 25% monthly churn; users try it but don't find lasting value; implies ~4-month avg retention</t>
  </si>
  <si>
    <t>ASSUMPTION: 50 photos/month; heavy usage but not translating to retention</t>
  </si>
  <si>
    <t>ASSUMPTION: users take more photos per session during trial exploring the product, still don't convert</t>
  </si>
  <si>
    <t>ESTIMATE: infrastructure costs run above expectation; $0.35 vs base $0.25 per active user</t>
  </si>
  <si>
    <t>ASSUMPTION: 5% refund/chargeback rate; dissatisfied users dispute charges; one chargeback = $15 fee from Stripe</t>
  </si>
  <si>
    <t>ASSUMPTION: 13 hrs/week; heavier support burden, more debugging, more one-on-one help to retain subscribers</t>
  </si>
  <si>
    <t>ESTIMATE: higher end of $130–200 range; prior claims or coverage gaps increase premium</t>
  </si>
  <si>
    <t>ESTIMATE: additional tools needed to diagnose performance issues; LLC filing complications add cost</t>
  </si>
  <si>
    <t>ESTIMATE: more server capacity needed to debug reliability and performance problems</t>
  </si>
  <si>
    <t>ESTIMATE: compliance questions surface from users; additional legal review required beyond initial TOS</t>
  </si>
  <si>
    <t>PESSIMISTIC SCENARIO: MONTHLY PROJECTION  (Year 1)</t>
  </si>
  <si>
    <t>AI Styling App: Year 1 Financial Model (Optimistic Scenario)</t>
  </si>
  <si>
    <t>BUS 395  |  Jane Dias  |  Word of mouth · 20% conversion · 10% monthly churn · $9/month validated price</t>
  </si>
  <si>
    <t>ASSUMPTION: $9/month validated via Van Westendorp with Mya and Aly; sits within $8–13 competitive range; $2 higher than base adds $2/user directly to contribution margin</t>
  </si>
  <si>
    <t>ASSUMPTION: 20% conversion; trial experience is compelling, product-market fit is strong; this is the upper bound of typical SaaS trial conversion</t>
  </si>
  <si>
    <t>ASSUMPTION: 10% monthly churn; implies ~10-month avg retention; low churn is the primary driver of this scenario</t>
  </si>
  <si>
    <t>ESTIMATE: some infrastructure optimization achieved by month 4; $0.20 vs base $0.25 per active user</t>
  </si>
  <si>
    <t>ASSUMPTION: 1% refund/chargeback rate; satisfied subscribers rarely dispute; strong fit means low regret purchases</t>
  </si>
  <si>
    <t>ASSUMPTION: 7 hrs/week; product runs smoothly, lower support burden; fewer edge cases to debug</t>
  </si>
  <si>
    <t>OPTIMISTIC SCENARIO: MONTHLY PROJECTION  (Year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</si>
</sst>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%"/>
    <numFmt numFmtId="166" formatCode="#,##0.0"/>
  </numFmts>
  <fonts count="13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sz val="9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404040"/>
      <name val="Calibri"/>
      <family val="2"/>
    </font>
    <font>
      <sz val="9"/>
      <color rgb="FF000000"/>
      <name val="Calibri"/>
      <family val="2"/>
    </font>
    <font>
      <b/>
      <sz val="9"/>
      <color rgb="FF7B0000"/>
      <name val="Calibri"/>
      <family val="2"/>
    </font>
    <font>
      <i/>
      <sz val="9"/>
      <color rgb="FF606060"/>
      <name val="Calibri"/>
      <family val="2"/>
    </font>
    <font>
      <sz val="9"/>
      <color rgb="FF404040"/>
      <name val="Calibri"/>
      <family val="2"/>
    </font>
    <font>
      <b/>
      <sz val="11"/>
      <color rgb="FFFFFFFF"/>
      <name val="Calibri"/>
      <family val="2"/>
    </font>
    <font>
      <i/>
      <sz val="8"/>
      <color rgb="FF505050"/>
      <name val="Calibri"/>
      <family val="2"/>
    </font>
    <font>
      <b/>
      <sz val="9"/>
      <name val="Calibri"/>
      <family val="2"/>
    </font>
    <font>
      <b/>
      <sz val="9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596"/>
      </patternFill>
    </fill>
    <fill>
      <patternFill patternType="solid">
        <fgColor rgb="FF1F6B6B"/>
      </patternFill>
    </fill>
    <fill>
      <patternFill patternType="solid">
        <fgColor rgb="FFD6E4F7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2D6A27"/>
      </patternFill>
    </fill>
    <fill>
      <patternFill patternType="solid">
        <fgColor rgb="FF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5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6" fillId="6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left" vertical="center"/>
    </xf>
    <xf numFmtId="165" fontId="6" fillId="6" borderId="0" xfId="0" applyNumberFormat="1" applyFont="1" applyFill="1" applyAlignment="1">
      <alignment horizontal="right" vertical="center"/>
    </xf>
    <xf numFmtId="3" fontId="6" fillId="6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left" vertical="center"/>
    </xf>
    <xf numFmtId="3" fontId="11" fillId="6" borderId="0" xfId="0" applyNumberFormat="1" applyFont="1" applyFill="1" applyAlignment="1">
      <alignment horizontal="right" vertical="center"/>
    </xf>
    <xf numFmtId="166" fontId="0" fillId="8" borderId="0" xfId="0" applyNumberFormat="1" applyFill="1" applyAlignment="1">
      <alignment horizontal="right" vertical="center"/>
    </xf>
    <xf numFmtId="166" fontId="0" fillId="9" borderId="0" xfId="0" applyNumberFormat="1" applyFill="1" applyAlignment="1">
      <alignment horizontal="right" vertical="center"/>
    </xf>
    <xf numFmtId="0" fontId="12" fillId="7" borderId="0" xfId="0" applyFont="1" applyFill="1" applyAlignment="1">
      <alignment horizontal="left" vertical="center"/>
    </xf>
    <xf numFmtId="166" fontId="12" fillId="8" borderId="0" xfId="0" applyNumberFormat="1" applyFont="1" applyFill="1" applyAlignment="1">
      <alignment horizontal="right" vertical="center"/>
    </xf>
    <xf numFmtId="166" fontId="0" fillId="10" borderId="0" xfId="0" applyNumberFormat="1" applyFill="1" applyAlignment="1">
      <alignment horizontal="right" vertical="center"/>
    </xf>
    <xf numFmtId="164" fontId="0" fillId="8" borderId="0" xfId="0" applyNumberFormat="1" applyFill="1" applyAlignment="1">
      <alignment horizontal="right" vertical="center"/>
    </xf>
    <xf numFmtId="164" fontId="0" fillId="9" borderId="0" xfId="0" applyNumberFormat="1" applyFill="1" applyAlignment="1">
      <alignment horizontal="right" vertical="center"/>
    </xf>
    <xf numFmtId="164" fontId="12" fillId="8" borderId="0" xfId="0" applyNumberFormat="1" applyFont="1" applyFill="1" applyAlignment="1">
      <alignment horizontal="right" vertical="center"/>
    </xf>
    <xf numFmtId="0" fontId="3" fillId="12" borderId="0" xfId="0" applyFont="1" applyFill="1" applyAlignment="1">
      <alignment horizontal="left" vertical="center"/>
    </xf>
    <xf numFmtId="164" fontId="3" fillId="12" borderId="0" xfId="0" applyNumberFormat="1" applyFont="1" applyFill="1" applyAlignment="1">
      <alignment horizontal="right" vertical="center"/>
    </xf>
    <xf numFmtId="165" fontId="0" fillId="10" borderId="0" xfId="0" applyNumberForma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164" fontId="12" fillId="9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12" fillId="5" borderId="0" xfId="0" applyNumberFormat="1" applyFont="1" applyFill="1" applyAlignment="1">
      <alignment horizontal="right" vertical="center"/>
    </xf>
    <xf numFmtId="164" fontId="0" fillId="10" borderId="0" xfId="0" applyNumberFormat="1" applyFill="1" applyAlignment="1">
      <alignment horizontal="right" vertical="center"/>
    </xf>
    <xf numFmtId="164" fontId="12" fillId="10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0" fillId="0" borderId="0" xfId="0"/>
    <xf numFmtId="0" fontId="3" fillId="12" borderId="0" xfId="0" applyFont="1" applyFill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O68"/>
  <sheetViews>
    <sheetView workbookViewId="0">
      <pane xSplit="1" ySplit="26" topLeftCell="B62" activePane="bottomRight" state="frozen"/>
      <selection pane="topRight"/>
      <selection pane="bottomLeft"/>
      <selection pane="bottomRight" activeCell="D18" sqref="D18:O18"/>
    </sheetView>
  </sheetViews>
  <sheetFormatPr baseColWidth="10" defaultColWidth="8.83203125" defaultRowHeight="15" x14ac:dyDescent="0.2"/>
  <cols>
    <col min="1" max="1" width="38" customWidth="1"/>
    <col min="2" max="13" width="10.5" customWidth="1"/>
    <col min="14" max="14" width="12" customWidth="1"/>
    <col min="15" max="15" width="62" customWidth="1"/>
  </cols>
  <sheetData>
    <row r="1" spans="1:15" ht="28" customHeight="1" x14ac:dyDescent="0.2">
      <c r="A1" s="39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16" customHeight="1" x14ac:dyDescent="0.2">
      <c r="A2" s="37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5" ht="8" customHeight="1" x14ac:dyDescent="0.2"/>
    <row r="4" spans="1:15" ht="18" customHeight="1" x14ac:dyDescent="0.2">
      <c r="A4" s="35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1:15" ht="15" customHeight="1" x14ac:dyDescent="0.2">
      <c r="A5" s="1" t="s">
        <v>3</v>
      </c>
      <c r="B5" s="1" t="s">
        <v>4</v>
      </c>
      <c r="C5" s="1" t="s">
        <v>5</v>
      </c>
      <c r="D5" s="38" t="s">
        <v>6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</row>
    <row r="6" spans="1:15" ht="15" customHeight="1" x14ac:dyDescent="0.2">
      <c r="A6" s="2" t="s">
        <v>7</v>
      </c>
      <c r="B6" s="3">
        <v>7</v>
      </c>
      <c r="C6" s="4" t="s">
        <v>8</v>
      </c>
      <c r="D6" s="34" t="s">
        <v>9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1:15" ht="15" customHeight="1" x14ac:dyDescent="0.2">
      <c r="A7" s="2" t="s">
        <v>10</v>
      </c>
      <c r="B7" s="5">
        <v>2.9000000000000001E-2</v>
      </c>
      <c r="C7" s="4" t="s">
        <v>11</v>
      </c>
      <c r="D7" s="34" t="s">
        <v>12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</row>
    <row r="8" spans="1:15" ht="15" customHeight="1" x14ac:dyDescent="0.2">
      <c r="A8" s="2" t="s">
        <v>13</v>
      </c>
      <c r="B8" s="3">
        <v>0.3</v>
      </c>
      <c r="C8" s="4" t="s">
        <v>14</v>
      </c>
      <c r="D8" s="34" t="s">
        <v>15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</row>
    <row r="9" spans="1:15" ht="15" customHeight="1" x14ac:dyDescent="0.2">
      <c r="A9" s="2" t="s">
        <v>16</v>
      </c>
      <c r="B9" s="5">
        <v>0.1</v>
      </c>
      <c r="C9" s="4" t="s">
        <v>11</v>
      </c>
      <c r="D9" s="34" t="s">
        <v>17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</row>
    <row r="10" spans="1:15" ht="15" customHeight="1" x14ac:dyDescent="0.2">
      <c r="A10" s="2" t="s">
        <v>18</v>
      </c>
      <c r="B10" s="5">
        <v>0.16700000000000001</v>
      </c>
      <c r="C10" s="4" t="s">
        <v>11</v>
      </c>
      <c r="D10" s="34" t="s">
        <v>19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</row>
    <row r="11" spans="1:15" ht="15" customHeight="1" x14ac:dyDescent="0.2">
      <c r="A11" s="2" t="s">
        <v>20</v>
      </c>
      <c r="B11" s="3">
        <v>0.03</v>
      </c>
      <c r="C11" s="4" t="s">
        <v>21</v>
      </c>
      <c r="D11" s="34" t="s">
        <v>22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</row>
    <row r="12" spans="1:15" ht="15" customHeight="1" x14ac:dyDescent="0.2">
      <c r="A12" s="2" t="s">
        <v>23</v>
      </c>
      <c r="B12" s="6">
        <v>43</v>
      </c>
      <c r="C12" s="4" t="s">
        <v>24</v>
      </c>
      <c r="D12" s="34" t="s">
        <v>25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</row>
    <row r="13" spans="1:15" ht="15" customHeight="1" x14ac:dyDescent="0.2">
      <c r="A13" s="2" t="s">
        <v>26</v>
      </c>
      <c r="B13" s="6">
        <v>5</v>
      </c>
      <c r="C13" s="4" t="s">
        <v>24</v>
      </c>
      <c r="D13" s="34" t="s">
        <v>27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</row>
    <row r="14" spans="1:15" ht="15" customHeight="1" x14ac:dyDescent="0.2">
      <c r="A14" s="2" t="s">
        <v>28</v>
      </c>
      <c r="B14" s="6">
        <v>8</v>
      </c>
      <c r="C14" s="4" t="s">
        <v>29</v>
      </c>
      <c r="D14" s="34" t="s">
        <v>30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</row>
    <row r="15" spans="1:15" ht="15" customHeight="1" x14ac:dyDescent="0.2">
      <c r="A15" s="2" t="s">
        <v>31</v>
      </c>
      <c r="B15" s="3">
        <v>0.25</v>
      </c>
      <c r="C15" s="4" t="s">
        <v>32</v>
      </c>
      <c r="D15" s="34" t="s">
        <v>33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16" spans="1:15" ht="15" customHeight="1" x14ac:dyDescent="0.2">
      <c r="A16" s="2" t="s">
        <v>34</v>
      </c>
      <c r="B16" s="5">
        <v>0.02</v>
      </c>
      <c r="C16" s="4" t="s">
        <v>35</v>
      </c>
      <c r="D16" s="34" t="s">
        <v>36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</row>
    <row r="17" spans="1:15" ht="15" customHeight="1" x14ac:dyDescent="0.2">
      <c r="A17" s="2" t="s">
        <v>37</v>
      </c>
      <c r="B17" s="3">
        <v>15</v>
      </c>
      <c r="C17" s="4" t="s">
        <v>38</v>
      </c>
      <c r="D17" s="34" t="s">
        <v>39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</row>
    <row r="18" spans="1:15" ht="15" customHeight="1" x14ac:dyDescent="0.2">
      <c r="A18" s="2" t="s">
        <v>40</v>
      </c>
      <c r="B18" s="6">
        <v>69</v>
      </c>
      <c r="C18" s="4" t="s">
        <v>41</v>
      </c>
      <c r="D18" s="34" t="s">
        <v>42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</row>
    <row r="19" spans="1:15" ht="15" customHeight="1" x14ac:dyDescent="0.2">
      <c r="A19" s="2" t="s">
        <v>43</v>
      </c>
      <c r="B19" s="3">
        <v>165</v>
      </c>
      <c r="C19" s="4" t="s">
        <v>8</v>
      </c>
      <c r="D19" s="34" t="s">
        <v>44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</row>
    <row r="20" spans="1:15" ht="15" customHeight="1" x14ac:dyDescent="0.2">
      <c r="A20" s="2" t="s">
        <v>45</v>
      </c>
      <c r="B20" s="3">
        <v>33</v>
      </c>
      <c r="C20" s="4" t="s">
        <v>8</v>
      </c>
      <c r="D20" s="34" t="s">
        <v>46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</row>
    <row r="21" spans="1:15" ht="15" customHeight="1" x14ac:dyDescent="0.2">
      <c r="A21" s="2" t="s">
        <v>47</v>
      </c>
      <c r="B21" s="3">
        <v>70</v>
      </c>
      <c r="C21" s="4" t="s">
        <v>8</v>
      </c>
      <c r="D21" s="34" t="s">
        <v>48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</row>
    <row r="22" spans="1:15" ht="15" customHeight="1" x14ac:dyDescent="0.2">
      <c r="A22" s="2" t="s">
        <v>49</v>
      </c>
      <c r="B22" s="3">
        <v>75</v>
      </c>
      <c r="C22" s="4" t="s">
        <v>8</v>
      </c>
      <c r="D22" s="34" t="s">
        <v>50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</row>
    <row r="23" spans="1:15" ht="8" customHeight="1" x14ac:dyDescent="0.2">
      <c r="A23" t="s">
        <v>51</v>
      </c>
      <c r="B23">
        <v>0</v>
      </c>
      <c r="C23" t="s">
        <v>8</v>
      </c>
      <c r="D23" t="s">
        <v>52</v>
      </c>
    </row>
    <row r="24" spans="1:15" ht="8" customHeight="1" x14ac:dyDescent="0.2"/>
    <row r="25" spans="1:15" ht="22" customHeight="1" x14ac:dyDescent="0.2">
      <c r="A25" s="30" t="s">
        <v>53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</row>
    <row r="26" spans="1:15" ht="18" customHeight="1" x14ac:dyDescent="0.2">
      <c r="A26" s="7" t="s">
        <v>54</v>
      </c>
      <c r="B26" s="8" t="s">
        <v>55</v>
      </c>
      <c r="C26" s="8" t="s">
        <v>56</v>
      </c>
      <c r="D26" s="8" t="s">
        <v>57</v>
      </c>
      <c r="E26" s="8" t="s">
        <v>58</v>
      </c>
      <c r="F26" s="8" t="s">
        <v>59</v>
      </c>
      <c r="G26" s="8" t="s">
        <v>60</v>
      </c>
      <c r="H26" s="8" t="s">
        <v>61</v>
      </c>
      <c r="I26" s="8" t="s">
        <v>62</v>
      </c>
      <c r="J26" s="8" t="s">
        <v>63</v>
      </c>
      <c r="K26" s="8" t="s">
        <v>64</v>
      </c>
      <c r="L26" s="8" t="s">
        <v>65</v>
      </c>
      <c r="M26" s="8" t="s">
        <v>66</v>
      </c>
      <c r="N26" s="9" t="s">
        <v>67</v>
      </c>
      <c r="O26" s="7" t="s">
        <v>68</v>
      </c>
    </row>
    <row r="27" spans="1:15" ht="16" customHeight="1" x14ac:dyDescent="0.2">
      <c r="A27" s="35" t="s">
        <v>69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10"/>
    </row>
    <row r="28" spans="1:15" ht="15" customHeight="1" x14ac:dyDescent="0.2">
      <c r="A28" s="11" t="s">
        <v>70</v>
      </c>
      <c r="B28" s="6">
        <v>30</v>
      </c>
      <c r="C28" s="6">
        <v>40</v>
      </c>
      <c r="D28" s="6">
        <v>55</v>
      </c>
      <c r="E28" s="6">
        <v>70</v>
      </c>
      <c r="F28" s="6">
        <v>90</v>
      </c>
      <c r="G28" s="6">
        <v>110</v>
      </c>
      <c r="H28" s="6">
        <v>130</v>
      </c>
      <c r="I28" s="6">
        <v>150</v>
      </c>
      <c r="J28" s="6">
        <v>160</v>
      </c>
      <c r="K28" s="6">
        <v>170</v>
      </c>
      <c r="L28" s="6">
        <v>180</v>
      </c>
      <c r="M28" s="6">
        <v>190</v>
      </c>
      <c r="N28" s="12">
        <f>SUM(B28:M28)</f>
        <v>1375</v>
      </c>
      <c r="O28" s="10" t="s">
        <v>71</v>
      </c>
    </row>
    <row r="29" spans="1:15" ht="15" customHeight="1" x14ac:dyDescent="0.2">
      <c r="A29" s="11" t="s">
        <v>72</v>
      </c>
      <c r="B29" s="13">
        <v>0</v>
      </c>
      <c r="C29" s="13">
        <f t="shared" ref="C29:M29" si="0">B28*$B$9</f>
        <v>3</v>
      </c>
      <c r="D29" s="13">
        <f t="shared" si="0"/>
        <v>4</v>
      </c>
      <c r="E29" s="13">
        <f t="shared" si="0"/>
        <v>5.5</v>
      </c>
      <c r="F29" s="13">
        <f t="shared" si="0"/>
        <v>7</v>
      </c>
      <c r="G29" s="13">
        <f t="shared" si="0"/>
        <v>9</v>
      </c>
      <c r="H29" s="13">
        <f t="shared" si="0"/>
        <v>11</v>
      </c>
      <c r="I29" s="13">
        <f t="shared" si="0"/>
        <v>13</v>
      </c>
      <c r="J29" s="13">
        <f t="shared" si="0"/>
        <v>15</v>
      </c>
      <c r="K29" s="13">
        <f t="shared" si="0"/>
        <v>16</v>
      </c>
      <c r="L29" s="13">
        <f t="shared" si="0"/>
        <v>17</v>
      </c>
      <c r="M29" s="13">
        <f t="shared" si="0"/>
        <v>18</v>
      </c>
      <c r="N29" s="13">
        <f>SUM(B29:M29)</f>
        <v>118.5</v>
      </c>
      <c r="O29" s="10" t="s">
        <v>73</v>
      </c>
    </row>
    <row r="30" spans="1:15" ht="15" customHeight="1" x14ac:dyDescent="0.2">
      <c r="A30" s="11" t="s">
        <v>74</v>
      </c>
      <c r="B30" s="14">
        <v>0</v>
      </c>
      <c r="C30" s="14">
        <f t="shared" ref="C30:M30" si="1">B31*$B$10</f>
        <v>0</v>
      </c>
      <c r="D30" s="14">
        <f t="shared" si="1"/>
        <v>0.501</v>
      </c>
      <c r="E30" s="14">
        <f t="shared" si="1"/>
        <v>1.0853330000000001</v>
      </c>
      <c r="F30" s="14">
        <f t="shared" si="1"/>
        <v>1.8225823889999999</v>
      </c>
      <c r="G30" s="14">
        <f t="shared" si="1"/>
        <v>2.6872111300369994</v>
      </c>
      <c r="H30" s="14">
        <f t="shared" si="1"/>
        <v>3.7414468713208207</v>
      </c>
      <c r="I30" s="14">
        <f t="shared" si="1"/>
        <v>4.9536252438102437</v>
      </c>
      <c r="J30" s="14">
        <f t="shared" si="1"/>
        <v>6.2973698280939336</v>
      </c>
      <c r="K30" s="14">
        <f t="shared" si="1"/>
        <v>7.7507090668022469</v>
      </c>
      <c r="L30" s="14">
        <f t="shared" si="1"/>
        <v>9.1283406526462727</v>
      </c>
      <c r="M30" s="14">
        <f t="shared" si="1"/>
        <v>10.442907763654343</v>
      </c>
      <c r="N30" s="14">
        <f>SUM(B30:M30)</f>
        <v>48.410525945364867</v>
      </c>
      <c r="O30" s="10" t="s">
        <v>75</v>
      </c>
    </row>
    <row r="31" spans="1:15" ht="15" customHeight="1" x14ac:dyDescent="0.2">
      <c r="A31" s="15" t="s">
        <v>76</v>
      </c>
      <c r="B31" s="16">
        <f>MAX(0,0+B29-B30)</f>
        <v>0</v>
      </c>
      <c r="C31" s="16">
        <f t="shared" ref="C31:M31" si="2">MAX(0,B31+C29-C30)</f>
        <v>3</v>
      </c>
      <c r="D31" s="16">
        <f t="shared" si="2"/>
        <v>6.4989999999999997</v>
      </c>
      <c r="E31" s="16">
        <f t="shared" si="2"/>
        <v>10.913666999999998</v>
      </c>
      <c r="F31" s="16">
        <f t="shared" si="2"/>
        <v>16.091084610999996</v>
      </c>
      <c r="G31" s="16">
        <f t="shared" si="2"/>
        <v>22.403873480962996</v>
      </c>
      <c r="H31" s="16">
        <f t="shared" si="2"/>
        <v>29.662426609642178</v>
      </c>
      <c r="I31" s="16">
        <f t="shared" si="2"/>
        <v>37.708801365831938</v>
      </c>
      <c r="J31" s="16">
        <f t="shared" si="2"/>
        <v>46.411431537738004</v>
      </c>
      <c r="K31" s="16">
        <f t="shared" si="2"/>
        <v>54.66072247093576</v>
      </c>
      <c r="L31" s="16">
        <f t="shared" si="2"/>
        <v>62.53238181828948</v>
      </c>
      <c r="M31" s="16">
        <f t="shared" si="2"/>
        <v>70.089474054635133</v>
      </c>
      <c r="N31" s="16">
        <f>M31</f>
        <v>70.089474054635133</v>
      </c>
      <c r="O31" s="10" t="s">
        <v>77</v>
      </c>
    </row>
    <row r="32" spans="1:15" ht="15" customHeight="1" x14ac:dyDescent="0.2">
      <c r="A32" s="11" t="s">
        <v>78</v>
      </c>
      <c r="B32" s="17">
        <f t="shared" ref="B32:M32" si="3">B28+B31</f>
        <v>30</v>
      </c>
      <c r="C32" s="17">
        <f t="shared" si="3"/>
        <v>43</v>
      </c>
      <c r="D32" s="17">
        <f t="shared" si="3"/>
        <v>61.499000000000002</v>
      </c>
      <c r="E32" s="17">
        <f t="shared" si="3"/>
        <v>80.913667000000004</v>
      </c>
      <c r="F32" s="17">
        <f t="shared" si="3"/>
        <v>106.091084611</v>
      </c>
      <c r="G32" s="17">
        <f t="shared" si="3"/>
        <v>132.403873480963</v>
      </c>
      <c r="H32" s="17">
        <f t="shared" si="3"/>
        <v>159.66242660964218</v>
      </c>
      <c r="I32" s="17">
        <f t="shared" si="3"/>
        <v>187.70880136583193</v>
      </c>
      <c r="J32" s="17">
        <f t="shared" si="3"/>
        <v>206.411431537738</v>
      </c>
      <c r="K32" s="17">
        <f t="shared" si="3"/>
        <v>224.66072247093575</v>
      </c>
      <c r="L32" s="17">
        <f t="shared" si="3"/>
        <v>242.53238181828948</v>
      </c>
      <c r="M32" s="17">
        <f t="shared" si="3"/>
        <v>260.08947405463516</v>
      </c>
      <c r="N32" s="17">
        <f>SUM(B32:M32)</f>
        <v>1734.9728629490355</v>
      </c>
      <c r="O32" s="10" t="s">
        <v>79</v>
      </c>
    </row>
    <row r="33" spans="1:15" ht="5" customHeight="1" x14ac:dyDescent="0.2"/>
    <row r="34" spans="1:15" ht="16" customHeight="1" x14ac:dyDescent="0.2">
      <c r="A34" s="33" t="s">
        <v>80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10"/>
    </row>
    <row r="35" spans="1:15" ht="15" customHeight="1" x14ac:dyDescent="0.2">
      <c r="A35" s="11" t="s">
        <v>81</v>
      </c>
      <c r="B35" s="18">
        <f t="shared" ref="B35:M35" si="4">B31*$B$6</f>
        <v>0</v>
      </c>
      <c r="C35" s="18">
        <f t="shared" si="4"/>
        <v>21</v>
      </c>
      <c r="D35" s="18">
        <f t="shared" si="4"/>
        <v>45.492999999999995</v>
      </c>
      <c r="E35" s="18">
        <f t="shared" si="4"/>
        <v>76.395668999999984</v>
      </c>
      <c r="F35" s="18">
        <f t="shared" si="4"/>
        <v>112.63759227699997</v>
      </c>
      <c r="G35" s="18">
        <f t="shared" si="4"/>
        <v>156.82711436674097</v>
      </c>
      <c r="H35" s="18">
        <f t="shared" si="4"/>
        <v>207.63698626749525</v>
      </c>
      <c r="I35" s="18">
        <f t="shared" si="4"/>
        <v>263.96160956082355</v>
      </c>
      <c r="J35" s="18">
        <f t="shared" si="4"/>
        <v>324.88002076416603</v>
      </c>
      <c r="K35" s="18">
        <f t="shared" si="4"/>
        <v>382.62505729655032</v>
      </c>
      <c r="L35" s="18">
        <f t="shared" si="4"/>
        <v>437.72667272802636</v>
      </c>
      <c r="M35" s="18">
        <f t="shared" si="4"/>
        <v>490.6263183824459</v>
      </c>
      <c r="N35" s="18">
        <f>SUM(B35:M35)</f>
        <v>2519.8100406432482</v>
      </c>
      <c r="O35" s="10" t="s">
        <v>82</v>
      </c>
    </row>
    <row r="36" spans="1:15" ht="15" customHeight="1" x14ac:dyDescent="0.2">
      <c r="A36" s="11" t="s">
        <v>83</v>
      </c>
      <c r="B36" s="19">
        <f t="shared" ref="B36:M36" si="5">-(B35*$B$7+B31*$B$8)</f>
        <v>0</v>
      </c>
      <c r="C36" s="19">
        <f t="shared" si="5"/>
        <v>-1.5089999999999999</v>
      </c>
      <c r="D36" s="19">
        <f t="shared" si="5"/>
        <v>-3.2689969999999997</v>
      </c>
      <c r="E36" s="19">
        <f t="shared" si="5"/>
        <v>-5.4895745009999999</v>
      </c>
      <c r="F36" s="19">
        <f t="shared" si="5"/>
        <v>-8.0938155593329988</v>
      </c>
      <c r="G36" s="19">
        <f t="shared" si="5"/>
        <v>-11.269148360924387</v>
      </c>
      <c r="H36" s="19">
        <f t="shared" si="5"/>
        <v>-14.920200584650015</v>
      </c>
      <c r="I36" s="19">
        <f t="shared" si="5"/>
        <v>-18.967527087013465</v>
      </c>
      <c r="J36" s="19">
        <f t="shared" si="5"/>
        <v>-23.344950063482216</v>
      </c>
      <c r="K36" s="19">
        <f t="shared" si="5"/>
        <v>-27.494343402880688</v>
      </c>
      <c r="L36" s="19">
        <f t="shared" si="5"/>
        <v>-31.45378805459961</v>
      </c>
      <c r="M36" s="19">
        <f t="shared" si="5"/>
        <v>-35.255005449481473</v>
      </c>
      <c r="N36" s="19">
        <f>SUM(B36:M36)</f>
        <v>-181.06635006336484</v>
      </c>
      <c r="O36" s="10" t="s">
        <v>84</v>
      </c>
    </row>
    <row r="37" spans="1:15" ht="15" customHeight="1" x14ac:dyDescent="0.2">
      <c r="A37" s="15" t="s">
        <v>85</v>
      </c>
      <c r="B37" s="20">
        <f t="shared" ref="B37:M37" si="6">B35+B36</f>
        <v>0</v>
      </c>
      <c r="C37" s="20">
        <f t="shared" si="6"/>
        <v>19.491</v>
      </c>
      <c r="D37" s="20">
        <f t="shared" si="6"/>
        <v>42.224002999999996</v>
      </c>
      <c r="E37" s="20">
        <f t="shared" si="6"/>
        <v>70.906094498999977</v>
      </c>
      <c r="F37" s="20">
        <f t="shared" si="6"/>
        <v>104.54377671766697</v>
      </c>
      <c r="G37" s="20">
        <f t="shared" si="6"/>
        <v>145.55796600581658</v>
      </c>
      <c r="H37" s="20">
        <f t="shared" si="6"/>
        <v>192.71678568284523</v>
      </c>
      <c r="I37" s="20">
        <f t="shared" si="6"/>
        <v>244.99408247381007</v>
      </c>
      <c r="J37" s="20">
        <f t="shared" si="6"/>
        <v>301.53507070068383</v>
      </c>
      <c r="K37" s="20">
        <f t="shared" si="6"/>
        <v>355.13071389366962</v>
      </c>
      <c r="L37" s="20">
        <f t="shared" si="6"/>
        <v>406.27288467342674</v>
      </c>
      <c r="M37" s="20">
        <f t="shared" si="6"/>
        <v>455.37131293296443</v>
      </c>
      <c r="N37" s="20">
        <f>SUM(B37:M37)</f>
        <v>2338.7436905798832</v>
      </c>
      <c r="O37" s="10" t="s">
        <v>86</v>
      </c>
    </row>
    <row r="38" spans="1:15" ht="5" customHeight="1" x14ac:dyDescent="0.2"/>
    <row r="39" spans="1:15" ht="16" customHeight="1" x14ac:dyDescent="0.2">
      <c r="A39" s="32" t="s">
        <v>87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10"/>
    </row>
    <row r="40" spans="1:15" ht="15" customHeight="1" x14ac:dyDescent="0.2">
      <c r="A40" s="11" t="s">
        <v>88</v>
      </c>
      <c r="B40" s="19">
        <f t="shared" ref="B40:M40" si="7">B31*$B$12*$B$11</f>
        <v>0</v>
      </c>
      <c r="C40" s="19">
        <f t="shared" si="7"/>
        <v>3.8699999999999997</v>
      </c>
      <c r="D40" s="19">
        <f t="shared" si="7"/>
        <v>8.3837099999999989</v>
      </c>
      <c r="E40" s="19">
        <f t="shared" si="7"/>
        <v>14.078630429999997</v>
      </c>
      <c r="F40" s="19">
        <f t="shared" si="7"/>
        <v>20.757499148189996</v>
      </c>
      <c r="G40" s="19">
        <f t="shared" si="7"/>
        <v>28.900996790442264</v>
      </c>
      <c r="H40" s="19">
        <f t="shared" si="7"/>
        <v>38.264530326438411</v>
      </c>
      <c r="I40" s="19">
        <f t="shared" si="7"/>
        <v>48.644353761923199</v>
      </c>
      <c r="J40" s="19">
        <f t="shared" si="7"/>
        <v>59.870746683682029</v>
      </c>
      <c r="K40" s="19">
        <f t="shared" si="7"/>
        <v>70.512331987507125</v>
      </c>
      <c r="L40" s="19">
        <f t="shared" si="7"/>
        <v>80.666772545593432</v>
      </c>
      <c r="M40" s="19">
        <f t="shared" si="7"/>
        <v>90.415421530479321</v>
      </c>
      <c r="N40" s="19">
        <f t="shared" ref="N40:N45" si="8">SUM(B40:M40)</f>
        <v>464.36499320425571</v>
      </c>
      <c r="O40" s="10" t="s">
        <v>89</v>
      </c>
    </row>
    <row r="41" spans="1:15" ht="15" customHeight="1" x14ac:dyDescent="0.2">
      <c r="A41" s="11" t="s">
        <v>90</v>
      </c>
      <c r="B41" s="19">
        <f t="shared" ref="B41:M41" si="9">B28*$B$14*$B$13*$B$11</f>
        <v>36</v>
      </c>
      <c r="C41" s="19">
        <f t="shared" si="9"/>
        <v>48</v>
      </c>
      <c r="D41" s="19">
        <f t="shared" si="9"/>
        <v>66</v>
      </c>
      <c r="E41" s="19">
        <f t="shared" si="9"/>
        <v>84</v>
      </c>
      <c r="F41" s="19">
        <f t="shared" si="9"/>
        <v>108</v>
      </c>
      <c r="G41" s="19">
        <f t="shared" si="9"/>
        <v>132</v>
      </c>
      <c r="H41" s="19">
        <f t="shared" si="9"/>
        <v>156</v>
      </c>
      <c r="I41" s="19">
        <f t="shared" si="9"/>
        <v>180</v>
      </c>
      <c r="J41" s="19">
        <f t="shared" si="9"/>
        <v>192</v>
      </c>
      <c r="K41" s="19">
        <f t="shared" si="9"/>
        <v>204</v>
      </c>
      <c r="L41" s="19">
        <f t="shared" si="9"/>
        <v>216</v>
      </c>
      <c r="M41" s="19">
        <f t="shared" si="9"/>
        <v>228</v>
      </c>
      <c r="N41" s="19">
        <f t="shared" si="8"/>
        <v>1650</v>
      </c>
      <c r="O41" s="10" t="s">
        <v>91</v>
      </c>
    </row>
    <row r="42" spans="1:15" ht="15" customHeight="1" x14ac:dyDescent="0.2">
      <c r="A42" s="11" t="s">
        <v>92</v>
      </c>
      <c r="B42" s="19">
        <f t="shared" ref="B42:M42" si="10">B32*$B$15</f>
        <v>7.5</v>
      </c>
      <c r="C42" s="19">
        <f t="shared" si="10"/>
        <v>10.75</v>
      </c>
      <c r="D42" s="19">
        <f t="shared" si="10"/>
        <v>15.374750000000001</v>
      </c>
      <c r="E42" s="19">
        <f t="shared" si="10"/>
        <v>20.228416750000001</v>
      </c>
      <c r="F42" s="19">
        <f t="shared" si="10"/>
        <v>26.52277115275</v>
      </c>
      <c r="G42" s="19">
        <f t="shared" si="10"/>
        <v>33.10096837024075</v>
      </c>
      <c r="H42" s="19">
        <f t="shared" si="10"/>
        <v>39.915606652410546</v>
      </c>
      <c r="I42" s="19">
        <f t="shared" si="10"/>
        <v>46.927200341457983</v>
      </c>
      <c r="J42" s="19">
        <f t="shared" si="10"/>
        <v>51.602857884434499</v>
      </c>
      <c r="K42" s="19">
        <f t="shared" si="10"/>
        <v>56.165180617733938</v>
      </c>
      <c r="L42" s="19">
        <f t="shared" si="10"/>
        <v>60.63309545457237</v>
      </c>
      <c r="M42" s="19">
        <f t="shared" si="10"/>
        <v>65.02236851365879</v>
      </c>
      <c r="N42" s="19">
        <f t="shared" si="8"/>
        <v>433.74321573725888</v>
      </c>
      <c r="O42" s="10" t="s">
        <v>93</v>
      </c>
    </row>
    <row r="43" spans="1:15" ht="15" customHeight="1" x14ac:dyDescent="0.2">
      <c r="A43" s="11" t="s">
        <v>94</v>
      </c>
      <c r="B43" s="19">
        <f t="shared" ref="B43:M43" si="11">B35*$B$16</f>
        <v>0</v>
      </c>
      <c r="C43" s="19">
        <f t="shared" si="11"/>
        <v>0.42</v>
      </c>
      <c r="D43" s="19">
        <f t="shared" si="11"/>
        <v>0.90985999999999989</v>
      </c>
      <c r="E43" s="19">
        <f t="shared" si="11"/>
        <v>1.5279133799999998</v>
      </c>
      <c r="F43" s="19">
        <f t="shared" si="11"/>
        <v>2.2527518455399993</v>
      </c>
      <c r="G43" s="19">
        <f t="shared" si="11"/>
        <v>3.1365422873348194</v>
      </c>
      <c r="H43" s="19">
        <f t="shared" si="11"/>
        <v>4.152739725349905</v>
      </c>
      <c r="I43" s="19">
        <f t="shared" si="11"/>
        <v>5.2792321912164715</v>
      </c>
      <c r="J43" s="19">
        <f t="shared" si="11"/>
        <v>6.4976004152833209</v>
      </c>
      <c r="K43" s="19">
        <f t="shared" si="11"/>
        <v>7.6525011459310068</v>
      </c>
      <c r="L43" s="19">
        <f t="shared" si="11"/>
        <v>8.7545334545605282</v>
      </c>
      <c r="M43" s="19">
        <f t="shared" si="11"/>
        <v>9.8125263676489176</v>
      </c>
      <c r="N43" s="19">
        <f t="shared" si="8"/>
        <v>50.396200812864961</v>
      </c>
      <c r="O43" s="10" t="s">
        <v>95</v>
      </c>
    </row>
    <row r="44" spans="1:15" ht="15" customHeight="1" x14ac:dyDescent="0.2">
      <c r="A44" s="11" t="s">
        <v>96</v>
      </c>
      <c r="B44" s="19">
        <f t="shared" ref="B44:M44" si="12">B35*0.005</f>
        <v>0</v>
      </c>
      <c r="C44" s="19">
        <f t="shared" si="12"/>
        <v>0.105</v>
      </c>
      <c r="D44" s="19">
        <f t="shared" si="12"/>
        <v>0.22746499999999997</v>
      </c>
      <c r="E44" s="19">
        <f t="shared" si="12"/>
        <v>0.38197834499999994</v>
      </c>
      <c r="F44" s="19">
        <f t="shared" si="12"/>
        <v>0.56318796138499982</v>
      </c>
      <c r="G44" s="19">
        <f t="shared" si="12"/>
        <v>0.78413557183370486</v>
      </c>
      <c r="H44" s="19">
        <f t="shared" si="12"/>
        <v>1.0381849313374762</v>
      </c>
      <c r="I44" s="19">
        <f t="shared" si="12"/>
        <v>1.3198080478041179</v>
      </c>
      <c r="J44" s="19">
        <f t="shared" si="12"/>
        <v>1.6244001038208302</v>
      </c>
      <c r="K44" s="19">
        <f t="shared" si="12"/>
        <v>1.9131252864827517</v>
      </c>
      <c r="L44" s="19">
        <f t="shared" si="12"/>
        <v>2.1886333636401321</v>
      </c>
      <c r="M44" s="19">
        <f t="shared" si="12"/>
        <v>2.4531315919122294</v>
      </c>
      <c r="N44" s="19">
        <f t="shared" si="8"/>
        <v>12.59905020321624</v>
      </c>
      <c r="O44" s="10" t="s">
        <v>97</v>
      </c>
    </row>
    <row r="45" spans="1:15" ht="15" customHeight="1" x14ac:dyDescent="0.2">
      <c r="A45" s="21" t="s">
        <v>98</v>
      </c>
      <c r="B45" s="22">
        <f t="shared" ref="B45:M45" si="13">SUM(B40:B44)</f>
        <v>43.5</v>
      </c>
      <c r="C45" s="22">
        <f t="shared" si="13"/>
        <v>63.144999999999996</v>
      </c>
      <c r="D45" s="22">
        <f t="shared" si="13"/>
        <v>90.895784999999989</v>
      </c>
      <c r="E45" s="22">
        <f t="shared" si="13"/>
        <v>120.21693890500001</v>
      </c>
      <c r="F45" s="22">
        <f t="shared" si="13"/>
        <v>158.09621010786501</v>
      </c>
      <c r="G45" s="22">
        <f t="shared" si="13"/>
        <v>197.92264301985153</v>
      </c>
      <c r="H45" s="22">
        <f t="shared" si="13"/>
        <v>239.37106163553634</v>
      </c>
      <c r="I45" s="22">
        <f t="shared" si="13"/>
        <v>282.17059434240178</v>
      </c>
      <c r="J45" s="22">
        <f t="shared" si="13"/>
        <v>311.59560508722069</v>
      </c>
      <c r="K45" s="22">
        <f t="shared" si="13"/>
        <v>340.24313903765483</v>
      </c>
      <c r="L45" s="22">
        <f t="shared" si="13"/>
        <v>368.24303481836643</v>
      </c>
      <c r="M45" s="22">
        <f t="shared" si="13"/>
        <v>395.70344800369918</v>
      </c>
      <c r="N45" s="22">
        <f t="shared" si="8"/>
        <v>2611.103459957596</v>
      </c>
      <c r="O45" s="10" t="s">
        <v>99</v>
      </c>
    </row>
    <row r="46" spans="1:15" ht="5" customHeight="1" x14ac:dyDescent="0.2"/>
    <row r="47" spans="1:15" ht="16" customHeight="1" x14ac:dyDescent="0.2">
      <c r="A47" s="33" t="s">
        <v>100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10"/>
    </row>
    <row r="48" spans="1:15" ht="15" customHeight="1" x14ac:dyDescent="0.2">
      <c r="A48" s="15" t="s">
        <v>101</v>
      </c>
      <c r="B48" s="20">
        <f t="shared" ref="B48:M48" si="14">B37-B45</f>
        <v>-43.5</v>
      </c>
      <c r="C48" s="20">
        <f t="shared" si="14"/>
        <v>-43.653999999999996</v>
      </c>
      <c r="D48" s="20">
        <f t="shared" si="14"/>
        <v>-48.671781999999993</v>
      </c>
      <c r="E48" s="20">
        <f t="shared" si="14"/>
        <v>-49.310844406000029</v>
      </c>
      <c r="F48" s="20">
        <f t="shared" si="14"/>
        <v>-53.552433390198033</v>
      </c>
      <c r="G48" s="20">
        <f t="shared" si="14"/>
        <v>-52.364677014034953</v>
      </c>
      <c r="H48" s="20">
        <f t="shared" si="14"/>
        <v>-46.654275952691108</v>
      </c>
      <c r="I48" s="20">
        <f t="shared" si="14"/>
        <v>-37.176511868591717</v>
      </c>
      <c r="J48" s="20">
        <f t="shared" si="14"/>
        <v>-10.060534386536858</v>
      </c>
      <c r="K48" s="20">
        <f t="shared" si="14"/>
        <v>14.887574856014794</v>
      </c>
      <c r="L48" s="20">
        <f t="shared" si="14"/>
        <v>38.02984985506032</v>
      </c>
      <c r="M48" s="20">
        <f t="shared" si="14"/>
        <v>59.667864929265249</v>
      </c>
      <c r="N48" s="20">
        <f>SUM(B48:M48)</f>
        <v>-272.35976937771233</v>
      </c>
      <c r="O48" s="10" t="s">
        <v>102</v>
      </c>
    </row>
    <row r="49" spans="1:15" ht="15" customHeight="1" x14ac:dyDescent="0.2">
      <c r="A49" s="11" t="s">
        <v>103</v>
      </c>
      <c r="B49" s="23">
        <f t="shared" ref="B49:M49" si="15">IF(B37&lt;&gt;0,B48/B37,0)</f>
        <v>0</v>
      </c>
      <c r="C49" s="23">
        <f t="shared" si="15"/>
        <v>-2.2397003745318349</v>
      </c>
      <c r="D49" s="23">
        <f t="shared" si="15"/>
        <v>-1.1527041147661912</v>
      </c>
      <c r="E49" s="23">
        <f t="shared" si="15"/>
        <v>-0.69543873138712331</v>
      </c>
      <c r="F49" s="23">
        <f t="shared" si="15"/>
        <v>-0.51224888818416048</v>
      </c>
      <c r="G49" s="23">
        <f t="shared" si="15"/>
        <v>-0.35975136539035196</v>
      </c>
      <c r="H49" s="23">
        <f t="shared" si="15"/>
        <v>-0.24208724625300795</v>
      </c>
      <c r="I49" s="23">
        <f t="shared" si="15"/>
        <v>-0.15174452988090395</v>
      </c>
      <c r="J49" s="23">
        <f t="shared" si="15"/>
        <v>-3.3364392284980213E-2</v>
      </c>
      <c r="K49" s="23">
        <f t="shared" si="15"/>
        <v>4.1921394781056061E-2</v>
      </c>
      <c r="L49" s="23">
        <f t="shared" si="15"/>
        <v>9.3606665100551212E-2</v>
      </c>
      <c r="M49" s="23">
        <f t="shared" si="15"/>
        <v>0.1310312337089381</v>
      </c>
      <c r="N49" s="23">
        <f>SUM(B49:M49)</f>
        <v>-5.1204803490880089</v>
      </c>
      <c r="O49" s="10" t="s">
        <v>104</v>
      </c>
    </row>
    <row r="50" spans="1:15" ht="5" customHeight="1" x14ac:dyDescent="0.2"/>
    <row r="51" spans="1:15" ht="16" customHeight="1" x14ac:dyDescent="0.2">
      <c r="A51" s="32" t="s">
        <v>105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10"/>
    </row>
    <row r="52" spans="1:15" ht="15" customHeight="1" x14ac:dyDescent="0.2">
      <c r="A52" s="11" t="s">
        <v>106</v>
      </c>
      <c r="B52" s="19">
        <f t="shared" ref="B52:M52" si="16">$B$17*$B$18</f>
        <v>1035</v>
      </c>
      <c r="C52" s="19">
        <f t="shared" si="16"/>
        <v>1035</v>
      </c>
      <c r="D52" s="19">
        <f t="shared" si="16"/>
        <v>1035</v>
      </c>
      <c r="E52" s="19">
        <f t="shared" si="16"/>
        <v>1035</v>
      </c>
      <c r="F52" s="19">
        <f t="shared" si="16"/>
        <v>1035</v>
      </c>
      <c r="G52" s="19">
        <f t="shared" si="16"/>
        <v>1035</v>
      </c>
      <c r="H52" s="19">
        <f t="shared" si="16"/>
        <v>1035</v>
      </c>
      <c r="I52" s="19">
        <f t="shared" si="16"/>
        <v>1035</v>
      </c>
      <c r="J52" s="19">
        <f t="shared" si="16"/>
        <v>1035</v>
      </c>
      <c r="K52" s="19">
        <f t="shared" si="16"/>
        <v>1035</v>
      </c>
      <c r="L52" s="19">
        <f t="shared" si="16"/>
        <v>1035</v>
      </c>
      <c r="M52" s="19">
        <f t="shared" si="16"/>
        <v>1035</v>
      </c>
      <c r="N52" s="19">
        <f t="shared" ref="N52:N57" si="17">SUM(B52:M52)</f>
        <v>12420</v>
      </c>
      <c r="O52" s="10" t="s">
        <v>107</v>
      </c>
    </row>
    <row r="53" spans="1:15" ht="15" customHeight="1" x14ac:dyDescent="0.2">
      <c r="A53" s="11" t="s">
        <v>108</v>
      </c>
      <c r="B53" s="19">
        <f t="shared" ref="B53:M53" si="18">$B$21</f>
        <v>70</v>
      </c>
      <c r="C53" s="19">
        <f t="shared" si="18"/>
        <v>70</v>
      </c>
      <c r="D53" s="19">
        <f t="shared" si="18"/>
        <v>70</v>
      </c>
      <c r="E53" s="19">
        <f t="shared" si="18"/>
        <v>70</v>
      </c>
      <c r="F53" s="19">
        <f t="shared" si="18"/>
        <v>70</v>
      </c>
      <c r="G53" s="19">
        <f t="shared" si="18"/>
        <v>70</v>
      </c>
      <c r="H53" s="19">
        <f t="shared" si="18"/>
        <v>70</v>
      </c>
      <c r="I53" s="19">
        <f t="shared" si="18"/>
        <v>70</v>
      </c>
      <c r="J53" s="19">
        <f t="shared" si="18"/>
        <v>70</v>
      </c>
      <c r="K53" s="19">
        <f t="shared" si="18"/>
        <v>70</v>
      </c>
      <c r="L53" s="19">
        <f t="shared" si="18"/>
        <v>70</v>
      </c>
      <c r="M53" s="19">
        <f t="shared" si="18"/>
        <v>70</v>
      </c>
      <c r="N53" s="19">
        <f t="shared" si="17"/>
        <v>840</v>
      </c>
      <c r="O53" s="10" t="s">
        <v>109</v>
      </c>
    </row>
    <row r="54" spans="1:15" ht="15" customHeight="1" x14ac:dyDescent="0.2">
      <c r="A54" s="11" t="s">
        <v>110</v>
      </c>
      <c r="B54" s="19">
        <f t="shared" ref="B54:M54" si="19">$B$22</f>
        <v>75</v>
      </c>
      <c r="C54" s="19">
        <f t="shared" si="19"/>
        <v>75</v>
      </c>
      <c r="D54" s="19">
        <f t="shared" si="19"/>
        <v>75</v>
      </c>
      <c r="E54" s="19">
        <f t="shared" si="19"/>
        <v>75</v>
      </c>
      <c r="F54" s="19">
        <f t="shared" si="19"/>
        <v>75</v>
      </c>
      <c r="G54" s="19">
        <f t="shared" si="19"/>
        <v>75</v>
      </c>
      <c r="H54" s="19">
        <f t="shared" si="19"/>
        <v>75</v>
      </c>
      <c r="I54" s="19">
        <f t="shared" si="19"/>
        <v>75</v>
      </c>
      <c r="J54" s="19">
        <f t="shared" si="19"/>
        <v>75</v>
      </c>
      <c r="K54" s="19">
        <f t="shared" si="19"/>
        <v>75</v>
      </c>
      <c r="L54" s="19">
        <f t="shared" si="19"/>
        <v>75</v>
      </c>
      <c r="M54" s="19">
        <f t="shared" si="19"/>
        <v>75</v>
      </c>
      <c r="N54" s="19">
        <f t="shared" si="17"/>
        <v>900</v>
      </c>
      <c r="O54" s="10" t="s">
        <v>111</v>
      </c>
    </row>
    <row r="55" spans="1:15" ht="15" customHeight="1" x14ac:dyDescent="0.2">
      <c r="A55" s="11" t="s">
        <v>112</v>
      </c>
      <c r="B55" s="19">
        <f t="shared" ref="B55:M55" si="20">$B$19</f>
        <v>165</v>
      </c>
      <c r="C55" s="19">
        <f t="shared" si="20"/>
        <v>165</v>
      </c>
      <c r="D55" s="19">
        <f t="shared" si="20"/>
        <v>165</v>
      </c>
      <c r="E55" s="19">
        <f t="shared" si="20"/>
        <v>165</v>
      </c>
      <c r="F55" s="19">
        <f t="shared" si="20"/>
        <v>165</v>
      </c>
      <c r="G55" s="19">
        <f t="shared" si="20"/>
        <v>165</v>
      </c>
      <c r="H55" s="19">
        <f t="shared" si="20"/>
        <v>165</v>
      </c>
      <c r="I55" s="19">
        <f t="shared" si="20"/>
        <v>165</v>
      </c>
      <c r="J55" s="19">
        <f t="shared" si="20"/>
        <v>165</v>
      </c>
      <c r="K55" s="19">
        <f t="shared" si="20"/>
        <v>165</v>
      </c>
      <c r="L55" s="19">
        <f t="shared" si="20"/>
        <v>165</v>
      </c>
      <c r="M55" s="19">
        <f t="shared" si="20"/>
        <v>165</v>
      </c>
      <c r="N55" s="19">
        <f t="shared" si="17"/>
        <v>1980</v>
      </c>
      <c r="O55" s="10" t="s">
        <v>113</v>
      </c>
    </row>
    <row r="56" spans="1:15" ht="15" customHeight="1" x14ac:dyDescent="0.2">
      <c r="A56" s="11" t="s">
        <v>114</v>
      </c>
      <c r="B56" s="19">
        <f t="shared" ref="B56:M56" si="21">$B$20</f>
        <v>33</v>
      </c>
      <c r="C56" s="19">
        <f t="shared" si="21"/>
        <v>33</v>
      </c>
      <c r="D56" s="19">
        <f t="shared" si="21"/>
        <v>33</v>
      </c>
      <c r="E56" s="19">
        <f t="shared" si="21"/>
        <v>33</v>
      </c>
      <c r="F56" s="19">
        <f t="shared" si="21"/>
        <v>33</v>
      </c>
      <c r="G56" s="19">
        <f t="shared" si="21"/>
        <v>33</v>
      </c>
      <c r="H56" s="19">
        <f t="shared" si="21"/>
        <v>33</v>
      </c>
      <c r="I56" s="19">
        <f t="shared" si="21"/>
        <v>33</v>
      </c>
      <c r="J56" s="19">
        <f t="shared" si="21"/>
        <v>33</v>
      </c>
      <c r="K56" s="19">
        <f t="shared" si="21"/>
        <v>33</v>
      </c>
      <c r="L56" s="19">
        <f t="shared" si="21"/>
        <v>33</v>
      </c>
      <c r="M56" s="19">
        <f t="shared" si="21"/>
        <v>33</v>
      </c>
      <c r="N56" s="19">
        <f t="shared" si="17"/>
        <v>396</v>
      </c>
      <c r="O56" s="10" t="s">
        <v>115</v>
      </c>
    </row>
    <row r="57" spans="1:15" ht="15" customHeight="1" x14ac:dyDescent="0.2">
      <c r="A57" s="21" t="s">
        <v>116</v>
      </c>
      <c r="B57" s="22">
        <f t="shared" ref="B57:M57" si="22">SUM(B52:B56)+$B$23</f>
        <v>1378</v>
      </c>
      <c r="C57" s="22">
        <f t="shared" si="22"/>
        <v>1378</v>
      </c>
      <c r="D57" s="22">
        <f t="shared" si="22"/>
        <v>1378</v>
      </c>
      <c r="E57" s="22">
        <f t="shared" si="22"/>
        <v>1378</v>
      </c>
      <c r="F57" s="22">
        <f t="shared" si="22"/>
        <v>1378</v>
      </c>
      <c r="G57" s="22">
        <f t="shared" si="22"/>
        <v>1378</v>
      </c>
      <c r="H57" s="22">
        <f t="shared" si="22"/>
        <v>1378</v>
      </c>
      <c r="I57" s="22">
        <f t="shared" si="22"/>
        <v>1378</v>
      </c>
      <c r="J57" s="22">
        <f t="shared" si="22"/>
        <v>1378</v>
      </c>
      <c r="K57" s="22">
        <f t="shared" si="22"/>
        <v>1378</v>
      </c>
      <c r="L57" s="22">
        <f t="shared" si="22"/>
        <v>1378</v>
      </c>
      <c r="M57" s="22">
        <f t="shared" si="22"/>
        <v>1378</v>
      </c>
      <c r="N57" s="22">
        <f t="shared" si="17"/>
        <v>16536</v>
      </c>
      <c r="O57" s="10" t="s">
        <v>117</v>
      </c>
    </row>
    <row r="58" spans="1:15" ht="5" customHeight="1" x14ac:dyDescent="0.2"/>
    <row r="59" spans="1:15" ht="16" customHeight="1" x14ac:dyDescent="0.2">
      <c r="A59" s="36" t="s">
        <v>118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10"/>
    </row>
    <row r="60" spans="1:15" ht="15" customHeight="1" x14ac:dyDescent="0.2">
      <c r="A60" s="15" t="s">
        <v>119</v>
      </c>
      <c r="B60" s="25">
        <f t="shared" ref="B60:M60" si="23">B45+B57</f>
        <v>1421.5</v>
      </c>
      <c r="C60" s="25">
        <f t="shared" si="23"/>
        <v>1441.145</v>
      </c>
      <c r="D60" s="25">
        <f t="shared" si="23"/>
        <v>1468.8957849999999</v>
      </c>
      <c r="E60" s="25">
        <f t="shared" si="23"/>
        <v>1498.216938905</v>
      </c>
      <c r="F60" s="25">
        <f t="shared" si="23"/>
        <v>1536.0962101078651</v>
      </c>
      <c r="G60" s="25">
        <f t="shared" si="23"/>
        <v>1575.9226430198514</v>
      </c>
      <c r="H60" s="25">
        <f t="shared" si="23"/>
        <v>1617.3710616355363</v>
      </c>
      <c r="I60" s="25">
        <f t="shared" si="23"/>
        <v>1660.1705943424017</v>
      </c>
      <c r="J60" s="25">
        <f t="shared" si="23"/>
        <v>1689.5956050872207</v>
      </c>
      <c r="K60" s="25">
        <f t="shared" si="23"/>
        <v>1718.2431390376548</v>
      </c>
      <c r="L60" s="25">
        <f t="shared" si="23"/>
        <v>1746.2430348183664</v>
      </c>
      <c r="M60" s="25">
        <f t="shared" si="23"/>
        <v>1773.7034480036991</v>
      </c>
      <c r="N60" s="25">
        <f>SUM(B60:M60)</f>
        <v>19147.103459957598</v>
      </c>
      <c r="O60" s="10" t="s">
        <v>120</v>
      </c>
    </row>
    <row r="61" spans="1:15" ht="15" customHeight="1" x14ac:dyDescent="0.2">
      <c r="A61" s="24" t="s">
        <v>121</v>
      </c>
      <c r="B61" s="26">
        <f t="shared" ref="B61:M61" si="24">B37-B60</f>
        <v>-1421.5</v>
      </c>
      <c r="C61" s="26">
        <f t="shared" si="24"/>
        <v>-1421.654</v>
      </c>
      <c r="D61" s="26">
        <f t="shared" si="24"/>
        <v>-1426.6717819999999</v>
      </c>
      <c r="E61" s="26">
        <f t="shared" si="24"/>
        <v>-1427.3108444060001</v>
      </c>
      <c r="F61" s="26">
        <f t="shared" si="24"/>
        <v>-1431.5524333901981</v>
      </c>
      <c r="G61" s="26">
        <f t="shared" si="24"/>
        <v>-1430.3646770140349</v>
      </c>
      <c r="H61" s="26">
        <f t="shared" si="24"/>
        <v>-1424.654275952691</v>
      </c>
      <c r="I61" s="26">
        <f t="shared" si="24"/>
        <v>-1415.1765118685917</v>
      </c>
      <c r="J61" s="26">
        <f t="shared" si="24"/>
        <v>-1388.0605343865368</v>
      </c>
      <c r="K61" s="26">
        <f t="shared" si="24"/>
        <v>-1363.1124251439851</v>
      </c>
      <c r="L61" s="26">
        <f t="shared" si="24"/>
        <v>-1339.9701501449397</v>
      </c>
      <c r="M61" s="26">
        <f t="shared" si="24"/>
        <v>-1318.3321350707347</v>
      </c>
      <c r="N61" s="26">
        <f>SUM(B61:M61)</f>
        <v>-16808.359769377712</v>
      </c>
      <c r="O61" s="10" t="s">
        <v>122</v>
      </c>
    </row>
    <row r="62" spans="1:15" ht="15" customHeight="1" x14ac:dyDescent="0.2">
      <c r="A62" s="15" t="s">
        <v>123</v>
      </c>
      <c r="B62" s="27">
        <f>B61</f>
        <v>-1421.5</v>
      </c>
      <c r="C62" s="27">
        <f t="shared" ref="C62:M62" si="25">B62+C61</f>
        <v>-2843.154</v>
      </c>
      <c r="D62" s="27">
        <f t="shared" si="25"/>
        <v>-4269.8257819999999</v>
      </c>
      <c r="E62" s="27">
        <f t="shared" si="25"/>
        <v>-5697.1366264059998</v>
      </c>
      <c r="F62" s="27">
        <f t="shared" si="25"/>
        <v>-7128.6890597961974</v>
      </c>
      <c r="G62" s="27">
        <f t="shared" si="25"/>
        <v>-8559.0537368102323</v>
      </c>
      <c r="H62" s="27">
        <f t="shared" si="25"/>
        <v>-9983.7080127629233</v>
      </c>
      <c r="I62" s="27">
        <f t="shared" si="25"/>
        <v>-11398.884524631514</v>
      </c>
      <c r="J62" s="27">
        <f t="shared" si="25"/>
        <v>-12786.945059018051</v>
      </c>
      <c r="K62" s="27">
        <f t="shared" si="25"/>
        <v>-14150.057484162036</v>
      </c>
      <c r="L62" s="27">
        <f t="shared" si="25"/>
        <v>-15490.027634306976</v>
      </c>
      <c r="M62" s="27">
        <f t="shared" si="25"/>
        <v>-16808.359769377712</v>
      </c>
      <c r="N62" s="27">
        <f>M62</f>
        <v>-16808.359769377712</v>
      </c>
      <c r="O62" s="10" t="s">
        <v>124</v>
      </c>
    </row>
    <row r="63" spans="1:15" ht="5" customHeight="1" x14ac:dyDescent="0.2"/>
    <row r="64" spans="1:15" ht="16" customHeight="1" x14ac:dyDescent="0.2">
      <c r="A64" s="35" t="s">
        <v>125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10"/>
    </row>
    <row r="65" spans="1:15" ht="15" customHeight="1" x14ac:dyDescent="0.2">
      <c r="A65" s="11" t="s">
        <v>126</v>
      </c>
      <c r="B65" s="18">
        <f t="shared" ref="B65:M65" si="26">IF(B31&gt;0,B35/B31,0)</f>
        <v>0</v>
      </c>
      <c r="C65" s="18">
        <f t="shared" si="26"/>
        <v>7</v>
      </c>
      <c r="D65" s="18">
        <f t="shared" si="26"/>
        <v>7</v>
      </c>
      <c r="E65" s="18">
        <f t="shared" si="26"/>
        <v>6.9999999999999991</v>
      </c>
      <c r="F65" s="18">
        <f t="shared" si="26"/>
        <v>7</v>
      </c>
      <c r="G65" s="18">
        <f t="shared" si="26"/>
        <v>7</v>
      </c>
      <c r="H65" s="18">
        <f t="shared" si="26"/>
        <v>7</v>
      </c>
      <c r="I65" s="18">
        <f t="shared" si="26"/>
        <v>6.9999999999999991</v>
      </c>
      <c r="J65" s="18">
        <f t="shared" si="26"/>
        <v>7</v>
      </c>
      <c r="K65" s="18">
        <f t="shared" si="26"/>
        <v>7</v>
      </c>
      <c r="L65" s="18">
        <f t="shared" si="26"/>
        <v>7</v>
      </c>
      <c r="M65" s="18">
        <f t="shared" si="26"/>
        <v>7</v>
      </c>
      <c r="N65" s="18">
        <f>SUM(B65:M65)</f>
        <v>77</v>
      </c>
      <c r="O65" s="10"/>
    </row>
    <row r="66" spans="1:15" ht="15" customHeight="1" x14ac:dyDescent="0.2">
      <c r="A66" s="11" t="s">
        <v>127</v>
      </c>
      <c r="B66" s="19">
        <f t="shared" ref="B66:M66" si="27">IF(B31&gt;0,B45/B31,0)</f>
        <v>0</v>
      </c>
      <c r="C66" s="19">
        <f t="shared" si="27"/>
        <v>21.048333333333332</v>
      </c>
      <c r="D66" s="19">
        <f t="shared" si="27"/>
        <v>13.986118633635943</v>
      </c>
      <c r="E66" s="19">
        <f t="shared" si="27"/>
        <v>11.015265437822139</v>
      </c>
      <c r="F66" s="19">
        <f t="shared" si="27"/>
        <v>9.8250810265324908</v>
      </c>
      <c r="G66" s="19">
        <f t="shared" si="27"/>
        <v>8.8343046209411167</v>
      </c>
      <c r="H66" s="19">
        <f t="shared" si="27"/>
        <v>8.0698408389057921</v>
      </c>
      <c r="I66" s="19">
        <f t="shared" si="27"/>
        <v>7.4828842106362314</v>
      </c>
      <c r="J66" s="19">
        <f t="shared" si="27"/>
        <v>6.7137684566755169</v>
      </c>
      <c r="K66" s="19">
        <f t="shared" si="27"/>
        <v>6.2246366981074788</v>
      </c>
      <c r="L66" s="19">
        <f t="shared" si="27"/>
        <v>5.8888374968417185</v>
      </c>
      <c r="M66" s="19">
        <f t="shared" si="27"/>
        <v>5.6456900745930287</v>
      </c>
      <c r="N66" s="28"/>
      <c r="O66" s="10" t="s">
        <v>128</v>
      </c>
    </row>
    <row r="67" spans="1:15" ht="15" customHeight="1" x14ac:dyDescent="0.2">
      <c r="A67" s="15" t="s">
        <v>129</v>
      </c>
      <c r="B67" s="20">
        <f t="shared" ref="B67:M67" si="28">IF(B31&gt;0,(B37-B45)/B31,0)</f>
        <v>0</v>
      </c>
      <c r="C67" s="20">
        <f t="shared" si="28"/>
        <v>-14.551333333333332</v>
      </c>
      <c r="D67" s="20">
        <f t="shared" si="28"/>
        <v>-7.4891186336359432</v>
      </c>
      <c r="E67" s="20">
        <f t="shared" si="28"/>
        <v>-4.5182654378221399</v>
      </c>
      <c r="F67" s="20">
        <f t="shared" si="28"/>
        <v>-3.3280810265324909</v>
      </c>
      <c r="G67" s="20">
        <f t="shared" si="28"/>
        <v>-2.3373046209411168</v>
      </c>
      <c r="H67" s="20">
        <f t="shared" si="28"/>
        <v>-1.5728408389057926</v>
      </c>
      <c r="I67" s="20">
        <f t="shared" si="28"/>
        <v>-0.98588421063623277</v>
      </c>
      <c r="J67" s="20">
        <f t="shared" si="28"/>
        <v>-0.21676845667551645</v>
      </c>
      <c r="K67" s="20">
        <f t="shared" si="28"/>
        <v>0.27236330189252123</v>
      </c>
      <c r="L67" s="20">
        <f t="shared" si="28"/>
        <v>0.60816250315828113</v>
      </c>
      <c r="M67" s="20">
        <f t="shared" si="28"/>
        <v>0.85130992540697081</v>
      </c>
      <c r="N67" s="29"/>
      <c r="O67" s="10" t="s">
        <v>130</v>
      </c>
    </row>
    <row r="68" spans="1:15" ht="15" customHeight="1" x14ac:dyDescent="0.2">
      <c r="A68" s="11" t="s">
        <v>131</v>
      </c>
      <c r="B68" s="23">
        <f t="shared" ref="B68:M68" si="29">IF(B65&lt;&gt;0,B67/B65,0)</f>
        <v>0</v>
      </c>
      <c r="C68" s="23">
        <f t="shared" si="29"/>
        <v>-2.0787619047619046</v>
      </c>
      <c r="D68" s="23">
        <f t="shared" si="29"/>
        <v>-1.0698740905194204</v>
      </c>
      <c r="E68" s="23">
        <f t="shared" si="29"/>
        <v>-0.64546649111744858</v>
      </c>
      <c r="F68" s="23">
        <f t="shared" si="29"/>
        <v>-0.47544014664749873</v>
      </c>
      <c r="G68" s="23">
        <f t="shared" si="29"/>
        <v>-0.33390066013444525</v>
      </c>
      <c r="H68" s="23">
        <f t="shared" si="29"/>
        <v>-0.22469154841511324</v>
      </c>
      <c r="I68" s="23">
        <f t="shared" si="29"/>
        <v>-0.14084060151946184</v>
      </c>
      <c r="J68" s="23">
        <f t="shared" si="29"/>
        <v>-3.0966922382216634E-2</v>
      </c>
      <c r="K68" s="23">
        <f t="shared" si="29"/>
        <v>3.8909043127503033E-2</v>
      </c>
      <c r="L68" s="23">
        <f t="shared" si="29"/>
        <v>8.6880357594040156E-2</v>
      </c>
      <c r="M68" s="23">
        <f t="shared" si="29"/>
        <v>0.12161570362956726</v>
      </c>
      <c r="N68" s="23"/>
      <c r="O68" s="10" t="s">
        <v>132</v>
      </c>
    </row>
  </sheetData>
  <mergeCells count="29">
    <mergeCell ref="A1:O1"/>
    <mergeCell ref="D22:O22"/>
    <mergeCell ref="D21:O21"/>
    <mergeCell ref="D6:O6"/>
    <mergeCell ref="A2:O2"/>
    <mergeCell ref="D18:O18"/>
    <mergeCell ref="D9:O9"/>
    <mergeCell ref="A4:O4"/>
    <mergeCell ref="D12:O12"/>
    <mergeCell ref="D8:O8"/>
    <mergeCell ref="D15:O15"/>
    <mergeCell ref="D5:O5"/>
    <mergeCell ref="D14:O14"/>
    <mergeCell ref="D10:O10"/>
    <mergeCell ref="A64:N64"/>
    <mergeCell ref="A59:N59"/>
    <mergeCell ref="A51:N51"/>
    <mergeCell ref="D17:O17"/>
    <mergeCell ref="D7:O7"/>
    <mergeCell ref="D16:O16"/>
    <mergeCell ref="A27:N27"/>
    <mergeCell ref="A47:N47"/>
    <mergeCell ref="D20:O20"/>
    <mergeCell ref="D19:O19"/>
    <mergeCell ref="A25:O25"/>
    <mergeCell ref="A39:N39"/>
    <mergeCell ref="A34:N34"/>
    <mergeCell ref="D11:O11"/>
    <mergeCell ref="D13:O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O68"/>
  <sheetViews>
    <sheetView tabSelected="1" topLeftCell="A22" workbookViewId="0">
      <selection activeCell="B52" sqref="B52"/>
    </sheetView>
  </sheetViews>
  <sheetFormatPr baseColWidth="10" defaultColWidth="8.83203125" defaultRowHeight="15" x14ac:dyDescent="0.2"/>
  <cols>
    <col min="1" max="1" width="38" customWidth="1"/>
    <col min="2" max="13" width="10.5" customWidth="1"/>
    <col min="14" max="14" width="12" customWidth="1"/>
    <col min="15" max="15" width="62" customWidth="1"/>
  </cols>
  <sheetData>
    <row r="1" spans="1:15" ht="28" customHeight="1" x14ac:dyDescent="0.2">
      <c r="A1" s="39" t="s">
        <v>133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16" customHeight="1" x14ac:dyDescent="0.2">
      <c r="A2" s="37" t="s">
        <v>134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5" ht="8" customHeight="1" x14ac:dyDescent="0.2"/>
    <row r="4" spans="1:15" ht="18" customHeight="1" x14ac:dyDescent="0.2">
      <c r="A4" s="35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1:15" ht="15" customHeight="1" x14ac:dyDescent="0.2">
      <c r="A5" s="1" t="s">
        <v>3</v>
      </c>
      <c r="B5" s="1" t="s">
        <v>4</v>
      </c>
      <c r="C5" s="1" t="s">
        <v>5</v>
      </c>
      <c r="D5" s="38" t="s">
        <v>6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</row>
    <row r="6" spans="1:15" ht="15" customHeight="1" x14ac:dyDescent="0.2">
      <c r="A6" s="2" t="s">
        <v>7</v>
      </c>
      <c r="B6" s="3">
        <v>7</v>
      </c>
      <c r="C6" s="4" t="s">
        <v>8</v>
      </c>
      <c r="D6" s="34" t="s">
        <v>9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1:15" ht="15" customHeight="1" x14ac:dyDescent="0.2">
      <c r="A7" s="2" t="s">
        <v>10</v>
      </c>
      <c r="B7" s="5">
        <v>2.9000000000000001E-2</v>
      </c>
      <c r="C7" s="4" t="s">
        <v>11</v>
      </c>
      <c r="D7" s="34" t="s">
        <v>12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</row>
    <row r="8" spans="1:15" ht="15" customHeight="1" x14ac:dyDescent="0.2">
      <c r="A8" s="2" t="s">
        <v>13</v>
      </c>
      <c r="B8" s="3">
        <v>0.3</v>
      </c>
      <c r="C8" s="4" t="s">
        <v>14</v>
      </c>
      <c r="D8" s="34" t="s">
        <v>15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</row>
    <row r="9" spans="1:15" ht="15" customHeight="1" x14ac:dyDescent="0.2">
      <c r="A9" s="2" t="s">
        <v>16</v>
      </c>
      <c r="B9" s="5">
        <v>0.05</v>
      </c>
      <c r="C9" s="4" t="s">
        <v>11</v>
      </c>
      <c r="D9" s="34" t="s">
        <v>135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</row>
    <row r="10" spans="1:15" ht="15" customHeight="1" x14ac:dyDescent="0.2">
      <c r="A10" s="2" t="s">
        <v>18</v>
      </c>
      <c r="B10" s="5">
        <v>0.25</v>
      </c>
      <c r="C10" s="4" t="s">
        <v>11</v>
      </c>
      <c r="D10" s="34" t="s">
        <v>136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</row>
    <row r="11" spans="1:15" ht="15" customHeight="1" x14ac:dyDescent="0.2">
      <c r="A11" s="2" t="s">
        <v>20</v>
      </c>
      <c r="B11" s="3">
        <v>0.03</v>
      </c>
      <c r="C11" s="4" t="s">
        <v>21</v>
      </c>
      <c r="D11" s="34" t="s">
        <v>22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</row>
    <row r="12" spans="1:15" ht="15" customHeight="1" x14ac:dyDescent="0.2">
      <c r="A12" s="2" t="s">
        <v>23</v>
      </c>
      <c r="B12" s="6">
        <v>50</v>
      </c>
      <c r="C12" s="4" t="s">
        <v>24</v>
      </c>
      <c r="D12" s="34" t="s">
        <v>137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</row>
    <row r="13" spans="1:15" ht="15" customHeight="1" x14ac:dyDescent="0.2">
      <c r="A13" s="2" t="s">
        <v>26</v>
      </c>
      <c r="B13" s="6">
        <v>7</v>
      </c>
      <c r="C13" s="4" t="s">
        <v>24</v>
      </c>
      <c r="D13" s="34" t="s">
        <v>138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</row>
    <row r="14" spans="1:15" ht="15" customHeight="1" x14ac:dyDescent="0.2">
      <c r="A14" s="2" t="s">
        <v>28</v>
      </c>
      <c r="B14" s="6">
        <v>8</v>
      </c>
      <c r="C14" s="4" t="s">
        <v>29</v>
      </c>
      <c r="D14" s="34" t="s">
        <v>30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</row>
    <row r="15" spans="1:15" ht="15" customHeight="1" x14ac:dyDescent="0.2">
      <c r="A15" s="2" t="s">
        <v>31</v>
      </c>
      <c r="B15" s="3">
        <v>0.35</v>
      </c>
      <c r="C15" s="4" t="s">
        <v>32</v>
      </c>
      <c r="D15" s="34" t="s">
        <v>139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16" spans="1:15" ht="15" customHeight="1" x14ac:dyDescent="0.2">
      <c r="A16" s="2" t="s">
        <v>34</v>
      </c>
      <c r="B16" s="5">
        <v>0.05</v>
      </c>
      <c r="C16" s="4" t="s">
        <v>35</v>
      </c>
      <c r="D16" s="34" t="s">
        <v>140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</row>
    <row r="17" spans="1:15" ht="15" customHeight="1" x14ac:dyDescent="0.2">
      <c r="A17" s="2" t="s">
        <v>37</v>
      </c>
      <c r="B17" s="3">
        <v>15</v>
      </c>
      <c r="C17" s="4" t="s">
        <v>38</v>
      </c>
      <c r="D17" s="34" t="s">
        <v>39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</row>
    <row r="18" spans="1:15" ht="15" customHeight="1" x14ac:dyDescent="0.2">
      <c r="A18" s="2" t="s">
        <v>40</v>
      </c>
      <c r="B18" s="6">
        <v>86</v>
      </c>
      <c r="C18" s="4" t="s">
        <v>41</v>
      </c>
      <c r="D18" s="34" t="s">
        <v>141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</row>
    <row r="19" spans="1:15" ht="15" customHeight="1" x14ac:dyDescent="0.2">
      <c r="A19" s="2" t="s">
        <v>43</v>
      </c>
      <c r="B19" s="3">
        <v>200</v>
      </c>
      <c r="C19" s="4" t="s">
        <v>8</v>
      </c>
      <c r="D19" s="34" t="s">
        <v>142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</row>
    <row r="20" spans="1:15" ht="15" customHeight="1" x14ac:dyDescent="0.2">
      <c r="A20" s="2" t="s">
        <v>45</v>
      </c>
      <c r="B20" s="3">
        <v>50</v>
      </c>
      <c r="C20" s="4" t="s">
        <v>8</v>
      </c>
      <c r="D20" s="34" t="s">
        <v>143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</row>
    <row r="21" spans="1:15" ht="15" customHeight="1" x14ac:dyDescent="0.2">
      <c r="A21" s="2" t="s">
        <v>47</v>
      </c>
      <c r="B21" s="3">
        <v>90</v>
      </c>
      <c r="C21" s="4" t="s">
        <v>8</v>
      </c>
      <c r="D21" s="34" t="s">
        <v>144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</row>
    <row r="22" spans="1:15" ht="15" customHeight="1" x14ac:dyDescent="0.2">
      <c r="A22" s="2" t="s">
        <v>49</v>
      </c>
      <c r="B22" s="3">
        <v>120</v>
      </c>
      <c r="C22" s="4" t="s">
        <v>8</v>
      </c>
      <c r="D22" s="34" t="s">
        <v>145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</row>
    <row r="23" spans="1:15" ht="8" customHeight="1" x14ac:dyDescent="0.2">
      <c r="A23" t="s">
        <v>51</v>
      </c>
      <c r="B23">
        <v>0</v>
      </c>
      <c r="C23" t="s">
        <v>8</v>
      </c>
      <c r="D23" t="s">
        <v>52</v>
      </c>
    </row>
    <row r="24" spans="1:15" ht="8" customHeight="1" x14ac:dyDescent="0.2"/>
    <row r="25" spans="1:15" ht="22" customHeight="1" x14ac:dyDescent="0.2">
      <c r="A25" s="30" t="s">
        <v>146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</row>
    <row r="26" spans="1:15" ht="18" customHeight="1" x14ac:dyDescent="0.2">
      <c r="A26" s="7" t="s">
        <v>54</v>
      </c>
      <c r="B26" s="8" t="s">
        <v>55</v>
      </c>
      <c r="C26" s="8" t="s">
        <v>56</v>
      </c>
      <c r="D26" s="8" t="s">
        <v>57</v>
      </c>
      <c r="E26" s="8" t="s">
        <v>58</v>
      </c>
      <c r="F26" s="8" t="s">
        <v>59</v>
      </c>
      <c r="G26" s="8" t="s">
        <v>60</v>
      </c>
      <c r="H26" s="8" t="s">
        <v>61</v>
      </c>
      <c r="I26" s="8" t="s">
        <v>62</v>
      </c>
      <c r="J26" s="8" t="s">
        <v>63</v>
      </c>
      <c r="K26" s="8" t="s">
        <v>64</v>
      </c>
      <c r="L26" s="8" t="s">
        <v>65</v>
      </c>
      <c r="M26" s="8" t="s">
        <v>66</v>
      </c>
      <c r="N26" s="9" t="s">
        <v>67</v>
      </c>
      <c r="O26" s="7" t="s">
        <v>68</v>
      </c>
    </row>
    <row r="27" spans="1:15" ht="16" customHeight="1" x14ac:dyDescent="0.2">
      <c r="A27" s="35" t="s">
        <v>69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10"/>
    </row>
    <row r="28" spans="1:15" ht="15" customHeight="1" x14ac:dyDescent="0.2">
      <c r="A28" s="11" t="s">
        <v>70</v>
      </c>
      <c r="B28" s="6">
        <v>15</v>
      </c>
      <c r="C28" s="6">
        <v>20</v>
      </c>
      <c r="D28" s="6">
        <v>28</v>
      </c>
      <c r="E28" s="6">
        <v>35</v>
      </c>
      <c r="F28" s="6">
        <v>45</v>
      </c>
      <c r="G28" s="6">
        <v>55</v>
      </c>
      <c r="H28" s="6">
        <v>65</v>
      </c>
      <c r="I28" s="6">
        <v>75</v>
      </c>
      <c r="J28" s="6">
        <v>80</v>
      </c>
      <c r="K28" s="6">
        <v>85</v>
      </c>
      <c r="L28" s="6">
        <v>90</v>
      </c>
      <c r="M28" s="6">
        <v>95</v>
      </c>
      <c r="N28" s="12">
        <f>SUM(B28:M28)</f>
        <v>688</v>
      </c>
      <c r="O28" s="10" t="s">
        <v>71</v>
      </c>
    </row>
    <row r="29" spans="1:15" ht="15" customHeight="1" x14ac:dyDescent="0.2">
      <c r="A29" s="11" t="s">
        <v>72</v>
      </c>
      <c r="B29" s="13">
        <v>0</v>
      </c>
      <c r="C29" s="13">
        <f t="shared" ref="C29:M29" si="0">B28*$B$9</f>
        <v>0.75</v>
      </c>
      <c r="D29" s="13">
        <f t="shared" si="0"/>
        <v>1</v>
      </c>
      <c r="E29" s="13">
        <f t="shared" si="0"/>
        <v>1.4000000000000001</v>
      </c>
      <c r="F29" s="13">
        <f t="shared" si="0"/>
        <v>1.75</v>
      </c>
      <c r="G29" s="13">
        <f t="shared" si="0"/>
        <v>2.25</v>
      </c>
      <c r="H29" s="13">
        <f t="shared" si="0"/>
        <v>2.75</v>
      </c>
      <c r="I29" s="13">
        <f t="shared" si="0"/>
        <v>3.25</v>
      </c>
      <c r="J29" s="13">
        <f t="shared" si="0"/>
        <v>3.75</v>
      </c>
      <c r="K29" s="13">
        <f t="shared" si="0"/>
        <v>4</v>
      </c>
      <c r="L29" s="13">
        <f t="shared" si="0"/>
        <v>4.25</v>
      </c>
      <c r="M29" s="13">
        <f t="shared" si="0"/>
        <v>4.5</v>
      </c>
      <c r="N29" s="13">
        <f>SUM(B29:M29)</f>
        <v>29.65</v>
      </c>
      <c r="O29" s="10" t="s">
        <v>73</v>
      </c>
    </row>
    <row r="30" spans="1:15" ht="15" customHeight="1" x14ac:dyDescent="0.2">
      <c r="A30" s="11" t="s">
        <v>74</v>
      </c>
      <c r="B30" s="14">
        <v>0</v>
      </c>
      <c r="C30" s="14">
        <f t="shared" ref="C30:M30" si="1">B31*$B$10</f>
        <v>0</v>
      </c>
      <c r="D30" s="14">
        <f t="shared" si="1"/>
        <v>0.1875</v>
      </c>
      <c r="E30" s="14">
        <f t="shared" si="1"/>
        <v>0.390625</v>
      </c>
      <c r="F30" s="14">
        <f t="shared" si="1"/>
        <v>0.64296875000000009</v>
      </c>
      <c r="G30" s="14">
        <f t="shared" si="1"/>
        <v>0.91972656250000007</v>
      </c>
      <c r="H30" s="14">
        <f t="shared" si="1"/>
        <v>1.2522949218750001</v>
      </c>
      <c r="I30" s="14">
        <f t="shared" si="1"/>
        <v>1.62672119140625</v>
      </c>
      <c r="J30" s="14">
        <f t="shared" si="1"/>
        <v>2.0325408935546871</v>
      </c>
      <c r="K30" s="14">
        <f t="shared" si="1"/>
        <v>2.4619056701660154</v>
      </c>
      <c r="L30" s="14">
        <f t="shared" si="1"/>
        <v>2.8464292526245116</v>
      </c>
      <c r="M30" s="14">
        <f t="shared" si="1"/>
        <v>3.1973219394683836</v>
      </c>
      <c r="N30" s="14">
        <f>SUM(B30:M30)</f>
        <v>15.558034181594849</v>
      </c>
      <c r="O30" s="10" t="s">
        <v>75</v>
      </c>
    </row>
    <row r="31" spans="1:15" ht="15" customHeight="1" x14ac:dyDescent="0.2">
      <c r="A31" s="15" t="s">
        <v>76</v>
      </c>
      <c r="B31" s="16">
        <f>MAX(0,0+B29-B30)</f>
        <v>0</v>
      </c>
      <c r="C31" s="16">
        <f t="shared" ref="C31:M31" si="2">MAX(0,B31+C29-C30)</f>
        <v>0.75</v>
      </c>
      <c r="D31" s="16">
        <f t="shared" si="2"/>
        <v>1.5625</v>
      </c>
      <c r="E31" s="16">
        <f t="shared" si="2"/>
        <v>2.5718750000000004</v>
      </c>
      <c r="F31" s="16">
        <f t="shared" si="2"/>
        <v>3.6789062500000003</v>
      </c>
      <c r="G31" s="16">
        <f t="shared" si="2"/>
        <v>5.0091796875000005</v>
      </c>
      <c r="H31" s="16">
        <f t="shared" si="2"/>
        <v>6.5068847656250002</v>
      </c>
      <c r="I31" s="16">
        <f t="shared" si="2"/>
        <v>8.1301635742187486</v>
      </c>
      <c r="J31" s="16">
        <f t="shared" si="2"/>
        <v>9.8476226806640614</v>
      </c>
      <c r="K31" s="16">
        <f t="shared" si="2"/>
        <v>11.385717010498047</v>
      </c>
      <c r="L31" s="16">
        <f t="shared" si="2"/>
        <v>12.789287757873534</v>
      </c>
      <c r="M31" s="16">
        <f t="shared" si="2"/>
        <v>14.09196581840515</v>
      </c>
      <c r="N31" s="16">
        <f>M31</f>
        <v>14.09196581840515</v>
      </c>
      <c r="O31" s="10" t="s">
        <v>77</v>
      </c>
    </row>
    <row r="32" spans="1:15" ht="15" customHeight="1" x14ac:dyDescent="0.2">
      <c r="A32" s="11" t="s">
        <v>78</v>
      </c>
      <c r="B32" s="17">
        <f t="shared" ref="B32:M32" si="3">B28+B31</f>
        <v>15</v>
      </c>
      <c r="C32" s="17">
        <f t="shared" si="3"/>
        <v>20.75</v>
      </c>
      <c r="D32" s="17">
        <f t="shared" si="3"/>
        <v>29.5625</v>
      </c>
      <c r="E32" s="17">
        <f t="shared" si="3"/>
        <v>37.571874999999999</v>
      </c>
      <c r="F32" s="17">
        <f t="shared" si="3"/>
        <v>48.678906249999997</v>
      </c>
      <c r="G32" s="17">
        <f t="shared" si="3"/>
        <v>60.009179687500001</v>
      </c>
      <c r="H32" s="17">
        <f t="shared" si="3"/>
        <v>71.506884765625003</v>
      </c>
      <c r="I32" s="17">
        <f t="shared" si="3"/>
        <v>83.130163574218756</v>
      </c>
      <c r="J32" s="17">
        <f t="shared" si="3"/>
        <v>89.84762268066406</v>
      </c>
      <c r="K32" s="17">
        <f t="shared" si="3"/>
        <v>96.385717010498041</v>
      </c>
      <c r="L32" s="17">
        <f t="shared" si="3"/>
        <v>102.78928775787354</v>
      </c>
      <c r="M32" s="17">
        <f t="shared" si="3"/>
        <v>109.09196581840516</v>
      </c>
      <c r="N32" s="17">
        <f>SUM(B32:M32)</f>
        <v>764.32410254478452</v>
      </c>
      <c r="O32" s="10" t="s">
        <v>79</v>
      </c>
    </row>
    <row r="33" spans="1:15" ht="5" customHeight="1" x14ac:dyDescent="0.2"/>
    <row r="34" spans="1:15" ht="16" customHeight="1" x14ac:dyDescent="0.2">
      <c r="A34" s="33" t="s">
        <v>80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10"/>
    </row>
    <row r="35" spans="1:15" ht="15" customHeight="1" x14ac:dyDescent="0.2">
      <c r="A35" s="11" t="s">
        <v>81</v>
      </c>
      <c r="B35" s="18">
        <f t="shared" ref="B35:M35" si="4">B31*$B$6</f>
        <v>0</v>
      </c>
      <c r="C35" s="18">
        <f t="shared" si="4"/>
        <v>5.25</v>
      </c>
      <c r="D35" s="18">
        <f t="shared" si="4"/>
        <v>10.9375</v>
      </c>
      <c r="E35" s="18">
        <f t="shared" si="4"/>
        <v>18.003125000000004</v>
      </c>
      <c r="F35" s="18">
        <f t="shared" si="4"/>
        <v>25.752343750000001</v>
      </c>
      <c r="G35" s="18">
        <f t="shared" si="4"/>
        <v>35.064257812500003</v>
      </c>
      <c r="H35" s="18">
        <f t="shared" si="4"/>
        <v>45.548193359374999</v>
      </c>
      <c r="I35" s="18">
        <f t="shared" si="4"/>
        <v>56.91114501953124</v>
      </c>
      <c r="J35" s="18">
        <f t="shared" si="4"/>
        <v>68.933358764648432</v>
      </c>
      <c r="K35" s="18">
        <f t="shared" si="4"/>
        <v>79.700019073486331</v>
      </c>
      <c r="L35" s="18">
        <f t="shared" si="4"/>
        <v>89.525014305114738</v>
      </c>
      <c r="M35" s="18">
        <f t="shared" si="4"/>
        <v>98.643760728836043</v>
      </c>
      <c r="N35" s="18">
        <f>SUM(B35:M35)</f>
        <v>534.26871781349178</v>
      </c>
      <c r="O35" s="10" t="s">
        <v>82</v>
      </c>
    </row>
    <row r="36" spans="1:15" ht="15" customHeight="1" x14ac:dyDescent="0.2">
      <c r="A36" s="11" t="s">
        <v>83</v>
      </c>
      <c r="B36" s="19">
        <f t="shared" ref="B36:M36" si="5">-(B35*$B$7+B31*$B$8)</f>
        <v>0</v>
      </c>
      <c r="C36" s="19">
        <f t="shared" si="5"/>
        <v>-0.37724999999999997</v>
      </c>
      <c r="D36" s="19">
        <f t="shared" si="5"/>
        <v>-0.78593749999999996</v>
      </c>
      <c r="E36" s="19">
        <f t="shared" si="5"/>
        <v>-1.2936531250000001</v>
      </c>
      <c r="F36" s="19">
        <f t="shared" si="5"/>
        <v>-1.8504898437500001</v>
      </c>
      <c r="G36" s="19">
        <f t="shared" si="5"/>
        <v>-2.5196173828125001</v>
      </c>
      <c r="H36" s="19">
        <f t="shared" si="5"/>
        <v>-3.272963037109375</v>
      </c>
      <c r="I36" s="19">
        <f t="shared" si="5"/>
        <v>-4.08947227783203</v>
      </c>
      <c r="J36" s="19">
        <f t="shared" si="5"/>
        <v>-4.953354208374023</v>
      </c>
      <c r="K36" s="19">
        <f t="shared" si="5"/>
        <v>-5.7270156562805177</v>
      </c>
      <c r="L36" s="19">
        <f t="shared" si="5"/>
        <v>-6.4330117422103879</v>
      </c>
      <c r="M36" s="19">
        <f t="shared" si="5"/>
        <v>-7.088258806657791</v>
      </c>
      <c r="N36" s="19">
        <f>SUM(B36:M36)</f>
        <v>-38.391023580026626</v>
      </c>
      <c r="O36" s="10" t="s">
        <v>84</v>
      </c>
    </row>
    <row r="37" spans="1:15" ht="15" customHeight="1" x14ac:dyDescent="0.2">
      <c r="A37" s="15" t="s">
        <v>85</v>
      </c>
      <c r="B37" s="20">
        <f t="shared" ref="B37:M37" si="6">B35+B36</f>
        <v>0</v>
      </c>
      <c r="C37" s="20">
        <f t="shared" si="6"/>
        <v>4.8727499999999999</v>
      </c>
      <c r="D37" s="20">
        <f t="shared" si="6"/>
        <v>10.151562500000001</v>
      </c>
      <c r="E37" s="20">
        <f t="shared" si="6"/>
        <v>16.709471875000006</v>
      </c>
      <c r="F37" s="20">
        <f t="shared" si="6"/>
        <v>23.90185390625</v>
      </c>
      <c r="G37" s="20">
        <f t="shared" si="6"/>
        <v>32.544640429687504</v>
      </c>
      <c r="H37" s="20">
        <f t="shared" si="6"/>
        <v>42.275230322265621</v>
      </c>
      <c r="I37" s="20">
        <f t="shared" si="6"/>
        <v>52.82167274169921</v>
      </c>
      <c r="J37" s="20">
        <f t="shared" si="6"/>
        <v>63.980004556274409</v>
      </c>
      <c r="K37" s="20">
        <f t="shared" si="6"/>
        <v>73.973003417205817</v>
      </c>
      <c r="L37" s="20">
        <f t="shared" si="6"/>
        <v>83.092002562904355</v>
      </c>
      <c r="M37" s="20">
        <f t="shared" si="6"/>
        <v>91.555501922178252</v>
      </c>
      <c r="N37" s="20">
        <f>SUM(B37:M37)</f>
        <v>495.87769423346515</v>
      </c>
      <c r="O37" s="10" t="s">
        <v>86</v>
      </c>
    </row>
    <row r="38" spans="1:15" ht="5" customHeight="1" x14ac:dyDescent="0.2"/>
    <row r="39" spans="1:15" ht="16" customHeight="1" x14ac:dyDescent="0.2">
      <c r="A39" s="32" t="s">
        <v>87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10"/>
    </row>
    <row r="40" spans="1:15" ht="15" customHeight="1" x14ac:dyDescent="0.2">
      <c r="A40" s="11" t="s">
        <v>88</v>
      </c>
      <c r="B40" s="19">
        <f t="shared" ref="B40:M40" si="7">B31*$B$12*$B$11</f>
        <v>0</v>
      </c>
      <c r="C40" s="19">
        <f t="shared" si="7"/>
        <v>1.125</v>
      </c>
      <c r="D40" s="19">
        <f t="shared" si="7"/>
        <v>2.34375</v>
      </c>
      <c r="E40" s="19">
        <f t="shared" si="7"/>
        <v>3.8578125000000005</v>
      </c>
      <c r="F40" s="19">
        <f t="shared" si="7"/>
        <v>5.5183593750000002</v>
      </c>
      <c r="G40" s="19">
        <f t="shared" si="7"/>
        <v>7.5137695312500004</v>
      </c>
      <c r="H40" s="19">
        <f t="shared" si="7"/>
        <v>9.7603271484374989</v>
      </c>
      <c r="I40" s="19">
        <f t="shared" si="7"/>
        <v>12.195245361328123</v>
      </c>
      <c r="J40" s="19">
        <f t="shared" si="7"/>
        <v>14.771434020996091</v>
      </c>
      <c r="K40" s="19">
        <f t="shared" si="7"/>
        <v>17.078575515747069</v>
      </c>
      <c r="L40" s="19">
        <f t="shared" si="7"/>
        <v>19.183931636810303</v>
      </c>
      <c r="M40" s="19">
        <f t="shared" si="7"/>
        <v>21.137948727607721</v>
      </c>
      <c r="N40" s="19">
        <f t="shared" ref="N40:N45" si="8">SUM(B40:M40)</f>
        <v>114.4861538171768</v>
      </c>
      <c r="O40" s="10" t="s">
        <v>89</v>
      </c>
    </row>
    <row r="41" spans="1:15" ht="15" customHeight="1" x14ac:dyDescent="0.2">
      <c r="A41" s="11" t="s">
        <v>90</v>
      </c>
      <c r="B41" s="19">
        <f t="shared" ref="B41:M41" si="9">B28*$B$14*$B$13*$B$11</f>
        <v>25.2</v>
      </c>
      <c r="C41" s="19">
        <f t="shared" si="9"/>
        <v>33.6</v>
      </c>
      <c r="D41" s="19">
        <f t="shared" si="9"/>
        <v>47.04</v>
      </c>
      <c r="E41" s="19">
        <f t="shared" si="9"/>
        <v>58.8</v>
      </c>
      <c r="F41" s="19">
        <f t="shared" si="9"/>
        <v>75.599999999999994</v>
      </c>
      <c r="G41" s="19">
        <f t="shared" si="9"/>
        <v>92.399999999999991</v>
      </c>
      <c r="H41" s="19">
        <f t="shared" si="9"/>
        <v>109.2</v>
      </c>
      <c r="I41" s="19">
        <f t="shared" si="9"/>
        <v>126</v>
      </c>
      <c r="J41" s="19">
        <f t="shared" si="9"/>
        <v>134.4</v>
      </c>
      <c r="K41" s="19">
        <f t="shared" si="9"/>
        <v>142.79999999999998</v>
      </c>
      <c r="L41" s="19">
        <f t="shared" si="9"/>
        <v>151.19999999999999</v>
      </c>
      <c r="M41" s="19">
        <f t="shared" si="9"/>
        <v>159.6</v>
      </c>
      <c r="N41" s="19">
        <f t="shared" si="8"/>
        <v>1155.8399999999997</v>
      </c>
      <c r="O41" s="10" t="s">
        <v>91</v>
      </c>
    </row>
    <row r="42" spans="1:15" ht="15" customHeight="1" x14ac:dyDescent="0.2">
      <c r="A42" s="11" t="s">
        <v>92</v>
      </c>
      <c r="B42" s="19">
        <f t="shared" ref="B42:M42" si="10">B32*$B$15</f>
        <v>5.25</v>
      </c>
      <c r="C42" s="19">
        <f t="shared" si="10"/>
        <v>7.2624999999999993</v>
      </c>
      <c r="D42" s="19">
        <f t="shared" si="10"/>
        <v>10.346874999999999</v>
      </c>
      <c r="E42" s="19">
        <f t="shared" si="10"/>
        <v>13.150156249999998</v>
      </c>
      <c r="F42" s="19">
        <f t="shared" si="10"/>
        <v>17.037617187499997</v>
      </c>
      <c r="G42" s="19">
        <f t="shared" si="10"/>
        <v>21.003212890625001</v>
      </c>
      <c r="H42" s="19">
        <f t="shared" si="10"/>
        <v>25.027409667968751</v>
      </c>
      <c r="I42" s="19">
        <f t="shared" si="10"/>
        <v>29.095557250976562</v>
      </c>
      <c r="J42" s="19">
        <f t="shared" si="10"/>
        <v>31.446667938232419</v>
      </c>
      <c r="K42" s="19">
        <f t="shared" si="10"/>
        <v>33.735000953674309</v>
      </c>
      <c r="L42" s="19">
        <f t="shared" si="10"/>
        <v>35.976250715255738</v>
      </c>
      <c r="M42" s="19">
        <f t="shared" si="10"/>
        <v>38.182188036441801</v>
      </c>
      <c r="N42" s="19">
        <f t="shared" si="8"/>
        <v>267.5134358906746</v>
      </c>
      <c r="O42" s="10" t="s">
        <v>93</v>
      </c>
    </row>
    <row r="43" spans="1:15" ht="15" customHeight="1" x14ac:dyDescent="0.2">
      <c r="A43" s="11" t="s">
        <v>94</v>
      </c>
      <c r="B43" s="19">
        <f t="shared" ref="B43:M43" si="11">B35*$B$16</f>
        <v>0</v>
      </c>
      <c r="C43" s="19">
        <f t="shared" si="11"/>
        <v>0.26250000000000001</v>
      </c>
      <c r="D43" s="19">
        <f t="shared" si="11"/>
        <v>0.546875</v>
      </c>
      <c r="E43" s="19">
        <f t="shared" si="11"/>
        <v>0.90015625000000021</v>
      </c>
      <c r="F43" s="19">
        <f t="shared" si="11"/>
        <v>1.2876171875000002</v>
      </c>
      <c r="G43" s="19">
        <f t="shared" si="11"/>
        <v>1.7532128906250002</v>
      </c>
      <c r="H43" s="19">
        <f t="shared" si="11"/>
        <v>2.2774096679687501</v>
      </c>
      <c r="I43" s="19">
        <f t="shared" si="11"/>
        <v>2.8455572509765621</v>
      </c>
      <c r="J43" s="19">
        <f t="shared" si="11"/>
        <v>3.4466679382324217</v>
      </c>
      <c r="K43" s="19">
        <f t="shared" si="11"/>
        <v>3.9850009536743167</v>
      </c>
      <c r="L43" s="19">
        <f t="shared" si="11"/>
        <v>4.4762507152557367</v>
      </c>
      <c r="M43" s="19">
        <f t="shared" si="11"/>
        <v>4.9321880364418025</v>
      </c>
      <c r="N43" s="19">
        <f t="shared" si="8"/>
        <v>26.713435890674589</v>
      </c>
      <c r="O43" s="10" t="s">
        <v>95</v>
      </c>
    </row>
    <row r="44" spans="1:15" ht="15" customHeight="1" x14ac:dyDescent="0.2">
      <c r="A44" s="11" t="s">
        <v>96</v>
      </c>
      <c r="B44" s="19">
        <f t="shared" ref="B44:M44" si="12">B35*0.005</f>
        <v>0</v>
      </c>
      <c r="C44" s="19">
        <f t="shared" si="12"/>
        <v>2.6249999999999999E-2</v>
      </c>
      <c r="D44" s="19">
        <f t="shared" si="12"/>
        <v>5.46875E-2</v>
      </c>
      <c r="E44" s="19">
        <f t="shared" si="12"/>
        <v>9.001562500000003E-2</v>
      </c>
      <c r="F44" s="19">
        <f t="shared" si="12"/>
        <v>0.12876171875</v>
      </c>
      <c r="G44" s="19">
        <f t="shared" si="12"/>
        <v>0.17532128906250002</v>
      </c>
      <c r="H44" s="19">
        <f t="shared" si="12"/>
        <v>0.227740966796875</v>
      </c>
      <c r="I44" s="19">
        <f t="shared" si="12"/>
        <v>0.2845557250976562</v>
      </c>
      <c r="J44" s="19">
        <f t="shared" si="12"/>
        <v>0.34466679382324217</v>
      </c>
      <c r="K44" s="19">
        <f t="shared" si="12"/>
        <v>0.39850009536743164</v>
      </c>
      <c r="L44" s="19">
        <f t="shared" si="12"/>
        <v>0.44762507152557368</v>
      </c>
      <c r="M44" s="19">
        <f t="shared" si="12"/>
        <v>0.49321880364418025</v>
      </c>
      <c r="N44" s="19">
        <f t="shared" si="8"/>
        <v>2.6713435890674591</v>
      </c>
      <c r="O44" s="10" t="s">
        <v>97</v>
      </c>
    </row>
    <row r="45" spans="1:15" ht="15" customHeight="1" x14ac:dyDescent="0.2">
      <c r="A45" s="21" t="s">
        <v>98</v>
      </c>
      <c r="B45" s="22">
        <f t="shared" ref="B45:M45" si="13">SUM(B40:B44)</f>
        <v>30.45</v>
      </c>
      <c r="C45" s="22">
        <f t="shared" si="13"/>
        <v>42.276249999999997</v>
      </c>
      <c r="D45" s="22">
        <f t="shared" si="13"/>
        <v>60.332187499999996</v>
      </c>
      <c r="E45" s="22">
        <f t="shared" si="13"/>
        <v>76.798140625000002</v>
      </c>
      <c r="F45" s="22">
        <f t="shared" si="13"/>
        <v>99.572355468750004</v>
      </c>
      <c r="G45" s="22">
        <f t="shared" si="13"/>
        <v>122.84551660156248</v>
      </c>
      <c r="H45" s="22">
        <f t="shared" si="13"/>
        <v>146.4928874511719</v>
      </c>
      <c r="I45" s="22">
        <f t="shared" si="13"/>
        <v>170.42091558837888</v>
      </c>
      <c r="J45" s="22">
        <f t="shared" si="13"/>
        <v>184.40943669128418</v>
      </c>
      <c r="K45" s="22">
        <f t="shared" si="13"/>
        <v>197.99707751846313</v>
      </c>
      <c r="L45" s="22">
        <f t="shared" si="13"/>
        <v>211.28405813884734</v>
      </c>
      <c r="M45" s="22">
        <f t="shared" si="13"/>
        <v>224.34554360413549</v>
      </c>
      <c r="N45" s="22">
        <f t="shared" si="8"/>
        <v>1567.2243691875933</v>
      </c>
      <c r="O45" s="10" t="s">
        <v>99</v>
      </c>
    </row>
    <row r="46" spans="1:15" ht="5" customHeight="1" x14ac:dyDescent="0.2"/>
    <row r="47" spans="1:15" ht="16" customHeight="1" x14ac:dyDescent="0.2">
      <c r="A47" s="33" t="s">
        <v>100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10"/>
    </row>
    <row r="48" spans="1:15" ht="15" customHeight="1" x14ac:dyDescent="0.2">
      <c r="A48" s="15" t="s">
        <v>101</v>
      </c>
      <c r="B48" s="20">
        <f t="shared" ref="B48:M48" si="14">B37-B45</f>
        <v>-30.45</v>
      </c>
      <c r="C48" s="20">
        <f t="shared" si="14"/>
        <v>-37.403499999999994</v>
      </c>
      <c r="D48" s="20">
        <f t="shared" si="14"/>
        <v>-50.180624999999992</v>
      </c>
      <c r="E48" s="20">
        <f t="shared" si="14"/>
        <v>-60.088668749999997</v>
      </c>
      <c r="F48" s="20">
        <f t="shared" si="14"/>
        <v>-75.670501562500007</v>
      </c>
      <c r="G48" s="20">
        <f t="shared" si="14"/>
        <v>-90.300876171874975</v>
      </c>
      <c r="H48" s="20">
        <f t="shared" si="14"/>
        <v>-104.21765712890627</v>
      </c>
      <c r="I48" s="20">
        <f t="shared" si="14"/>
        <v>-117.59924284667966</v>
      </c>
      <c r="J48" s="20">
        <f t="shared" si="14"/>
        <v>-120.42943213500978</v>
      </c>
      <c r="K48" s="20">
        <f t="shared" si="14"/>
        <v>-124.02407410125731</v>
      </c>
      <c r="L48" s="20">
        <f t="shared" si="14"/>
        <v>-128.19205557594299</v>
      </c>
      <c r="M48" s="20">
        <f t="shared" si="14"/>
        <v>-132.79004168195723</v>
      </c>
      <c r="N48" s="20">
        <f>SUM(B48:M48)</f>
        <v>-1071.346674954128</v>
      </c>
      <c r="O48" s="10" t="s">
        <v>102</v>
      </c>
    </row>
    <row r="49" spans="1:15" ht="15" customHeight="1" x14ac:dyDescent="0.2">
      <c r="A49" s="11" t="s">
        <v>103</v>
      </c>
      <c r="B49" s="23">
        <f t="shared" ref="B49:M49" si="15">IF(B37&lt;&gt;0,B48/B37,0)</f>
        <v>0</v>
      </c>
      <c r="C49" s="23">
        <f t="shared" si="15"/>
        <v>-7.6760556154122401</v>
      </c>
      <c r="D49" s="23">
        <f t="shared" si="15"/>
        <v>-4.9431429890718785</v>
      </c>
      <c r="E49" s="23">
        <f t="shared" si="15"/>
        <v>-3.5960842568520723</v>
      </c>
      <c r="F49" s="23">
        <f t="shared" si="15"/>
        <v>-3.1658841970711413</v>
      </c>
      <c r="G49" s="23">
        <f t="shared" si="15"/>
        <v>-2.7746773348739082</v>
      </c>
      <c r="H49" s="23">
        <f t="shared" si="15"/>
        <v>-2.465217961781669</v>
      </c>
      <c r="I49" s="23">
        <f t="shared" si="15"/>
        <v>-2.2263445427362023</v>
      </c>
      <c r="J49" s="23">
        <f t="shared" si="15"/>
        <v>-1.8822979612182518</v>
      </c>
      <c r="K49" s="23">
        <f t="shared" si="15"/>
        <v>-1.6766126609969418</v>
      </c>
      <c r="L49" s="23">
        <f t="shared" si="15"/>
        <v>-1.5427724885905341</v>
      </c>
      <c r="M49" s="23">
        <f t="shared" si="15"/>
        <v>-1.450377518489584</v>
      </c>
      <c r="N49" s="23">
        <f>SUM(B49:M49)</f>
        <v>-33.399467527094423</v>
      </c>
      <c r="O49" s="10" t="s">
        <v>104</v>
      </c>
    </row>
    <row r="50" spans="1:15" ht="5" customHeight="1" x14ac:dyDescent="0.2"/>
    <row r="51" spans="1:15" ht="16" customHeight="1" x14ac:dyDescent="0.2">
      <c r="A51" s="32" t="s">
        <v>105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10"/>
    </row>
    <row r="52" spans="1:15" ht="15" customHeight="1" x14ac:dyDescent="0.2">
      <c r="A52" s="11" t="s">
        <v>106</v>
      </c>
      <c r="B52" s="19">
        <f t="shared" ref="B52:M52" si="16">$B$17*$B$18</f>
        <v>1290</v>
      </c>
      <c r="C52" s="19">
        <f t="shared" si="16"/>
        <v>1290</v>
      </c>
      <c r="D52" s="19">
        <f t="shared" si="16"/>
        <v>1290</v>
      </c>
      <c r="E52" s="19">
        <f t="shared" si="16"/>
        <v>1290</v>
      </c>
      <c r="F52" s="19">
        <f t="shared" si="16"/>
        <v>1290</v>
      </c>
      <c r="G52" s="19">
        <f t="shared" si="16"/>
        <v>1290</v>
      </c>
      <c r="H52" s="19">
        <f t="shared" si="16"/>
        <v>1290</v>
      </c>
      <c r="I52" s="19">
        <f t="shared" si="16"/>
        <v>1290</v>
      </c>
      <c r="J52" s="19">
        <f t="shared" si="16"/>
        <v>1290</v>
      </c>
      <c r="K52" s="19">
        <f t="shared" si="16"/>
        <v>1290</v>
      </c>
      <c r="L52" s="19">
        <f t="shared" si="16"/>
        <v>1290</v>
      </c>
      <c r="M52" s="19">
        <f t="shared" si="16"/>
        <v>1290</v>
      </c>
      <c r="N52" s="19">
        <f t="shared" ref="N52:N57" si="17">SUM(B52:M52)</f>
        <v>15480</v>
      </c>
      <c r="O52" s="10" t="s">
        <v>107</v>
      </c>
    </row>
    <row r="53" spans="1:15" ht="15" customHeight="1" x14ac:dyDescent="0.2">
      <c r="A53" s="11" t="s">
        <v>108</v>
      </c>
      <c r="B53" s="19">
        <f t="shared" ref="B53:M53" si="18">$B$21</f>
        <v>90</v>
      </c>
      <c r="C53" s="19">
        <f t="shared" si="18"/>
        <v>90</v>
      </c>
      <c r="D53" s="19">
        <f t="shared" si="18"/>
        <v>90</v>
      </c>
      <c r="E53" s="19">
        <f t="shared" si="18"/>
        <v>90</v>
      </c>
      <c r="F53" s="19">
        <f t="shared" si="18"/>
        <v>90</v>
      </c>
      <c r="G53" s="19">
        <f t="shared" si="18"/>
        <v>90</v>
      </c>
      <c r="H53" s="19">
        <f t="shared" si="18"/>
        <v>90</v>
      </c>
      <c r="I53" s="19">
        <f t="shared" si="18"/>
        <v>90</v>
      </c>
      <c r="J53" s="19">
        <f t="shared" si="18"/>
        <v>90</v>
      </c>
      <c r="K53" s="19">
        <f t="shared" si="18"/>
        <v>90</v>
      </c>
      <c r="L53" s="19">
        <f t="shared" si="18"/>
        <v>90</v>
      </c>
      <c r="M53" s="19">
        <f t="shared" si="18"/>
        <v>90</v>
      </c>
      <c r="N53" s="19">
        <f t="shared" si="17"/>
        <v>1080</v>
      </c>
      <c r="O53" s="10" t="s">
        <v>109</v>
      </c>
    </row>
    <row r="54" spans="1:15" ht="15" customHeight="1" x14ac:dyDescent="0.2">
      <c r="A54" s="11" t="s">
        <v>110</v>
      </c>
      <c r="B54" s="19">
        <f t="shared" ref="B54:M54" si="19">$B$22</f>
        <v>120</v>
      </c>
      <c r="C54" s="19">
        <f t="shared" si="19"/>
        <v>120</v>
      </c>
      <c r="D54" s="19">
        <f t="shared" si="19"/>
        <v>120</v>
      </c>
      <c r="E54" s="19">
        <f t="shared" si="19"/>
        <v>120</v>
      </c>
      <c r="F54" s="19">
        <f t="shared" si="19"/>
        <v>120</v>
      </c>
      <c r="G54" s="19">
        <f t="shared" si="19"/>
        <v>120</v>
      </c>
      <c r="H54" s="19">
        <f t="shared" si="19"/>
        <v>120</v>
      </c>
      <c r="I54" s="19">
        <f t="shared" si="19"/>
        <v>120</v>
      </c>
      <c r="J54" s="19">
        <f t="shared" si="19"/>
        <v>120</v>
      </c>
      <c r="K54" s="19">
        <f t="shared" si="19"/>
        <v>120</v>
      </c>
      <c r="L54" s="19">
        <f t="shared" si="19"/>
        <v>120</v>
      </c>
      <c r="M54" s="19">
        <f t="shared" si="19"/>
        <v>120</v>
      </c>
      <c r="N54" s="19">
        <f t="shared" si="17"/>
        <v>1440</v>
      </c>
      <c r="O54" s="10" t="s">
        <v>111</v>
      </c>
    </row>
    <row r="55" spans="1:15" ht="15" customHeight="1" x14ac:dyDescent="0.2">
      <c r="A55" s="11" t="s">
        <v>112</v>
      </c>
      <c r="B55" s="19">
        <f t="shared" ref="B55:M55" si="20">$B$19</f>
        <v>200</v>
      </c>
      <c r="C55" s="19">
        <f t="shared" si="20"/>
        <v>200</v>
      </c>
      <c r="D55" s="19">
        <f t="shared" si="20"/>
        <v>200</v>
      </c>
      <c r="E55" s="19">
        <f t="shared" si="20"/>
        <v>200</v>
      </c>
      <c r="F55" s="19">
        <f t="shared" si="20"/>
        <v>200</v>
      </c>
      <c r="G55" s="19">
        <f t="shared" si="20"/>
        <v>200</v>
      </c>
      <c r="H55" s="19">
        <f t="shared" si="20"/>
        <v>200</v>
      </c>
      <c r="I55" s="19">
        <f t="shared" si="20"/>
        <v>200</v>
      </c>
      <c r="J55" s="19">
        <f t="shared" si="20"/>
        <v>200</v>
      </c>
      <c r="K55" s="19">
        <f t="shared" si="20"/>
        <v>200</v>
      </c>
      <c r="L55" s="19">
        <f t="shared" si="20"/>
        <v>200</v>
      </c>
      <c r="M55" s="19">
        <f t="shared" si="20"/>
        <v>200</v>
      </c>
      <c r="N55" s="19">
        <f t="shared" si="17"/>
        <v>2400</v>
      </c>
      <c r="O55" s="10" t="s">
        <v>113</v>
      </c>
    </row>
    <row r="56" spans="1:15" ht="15" customHeight="1" x14ac:dyDescent="0.2">
      <c r="A56" s="11" t="s">
        <v>114</v>
      </c>
      <c r="B56" s="19">
        <f t="shared" ref="B56:M56" si="21">$B$20</f>
        <v>50</v>
      </c>
      <c r="C56" s="19">
        <f t="shared" si="21"/>
        <v>50</v>
      </c>
      <c r="D56" s="19">
        <f t="shared" si="21"/>
        <v>50</v>
      </c>
      <c r="E56" s="19">
        <f t="shared" si="21"/>
        <v>50</v>
      </c>
      <c r="F56" s="19">
        <f t="shared" si="21"/>
        <v>50</v>
      </c>
      <c r="G56" s="19">
        <f t="shared" si="21"/>
        <v>50</v>
      </c>
      <c r="H56" s="19">
        <f t="shared" si="21"/>
        <v>50</v>
      </c>
      <c r="I56" s="19">
        <f t="shared" si="21"/>
        <v>50</v>
      </c>
      <c r="J56" s="19">
        <f t="shared" si="21"/>
        <v>50</v>
      </c>
      <c r="K56" s="19">
        <f t="shared" si="21"/>
        <v>50</v>
      </c>
      <c r="L56" s="19">
        <f t="shared" si="21"/>
        <v>50</v>
      </c>
      <c r="M56" s="19">
        <f t="shared" si="21"/>
        <v>50</v>
      </c>
      <c r="N56" s="19">
        <f t="shared" si="17"/>
        <v>600</v>
      </c>
      <c r="O56" s="10" t="s">
        <v>115</v>
      </c>
    </row>
    <row r="57" spans="1:15" ht="15" customHeight="1" x14ac:dyDescent="0.2">
      <c r="A57" s="21" t="s">
        <v>116</v>
      </c>
      <c r="B57" s="22">
        <f t="shared" ref="B57:M57" si="22">SUM(B52:B56)+$B$23</f>
        <v>1750</v>
      </c>
      <c r="C57" s="22">
        <f t="shared" si="22"/>
        <v>1750</v>
      </c>
      <c r="D57" s="22">
        <f t="shared" si="22"/>
        <v>1750</v>
      </c>
      <c r="E57" s="22">
        <f t="shared" si="22"/>
        <v>1750</v>
      </c>
      <c r="F57" s="22">
        <f t="shared" si="22"/>
        <v>1750</v>
      </c>
      <c r="G57" s="22">
        <f t="shared" si="22"/>
        <v>1750</v>
      </c>
      <c r="H57" s="22">
        <f t="shared" si="22"/>
        <v>1750</v>
      </c>
      <c r="I57" s="22">
        <f t="shared" si="22"/>
        <v>1750</v>
      </c>
      <c r="J57" s="22">
        <f t="shared" si="22"/>
        <v>1750</v>
      </c>
      <c r="K57" s="22">
        <f t="shared" si="22"/>
        <v>1750</v>
      </c>
      <c r="L57" s="22">
        <f t="shared" si="22"/>
        <v>1750</v>
      </c>
      <c r="M57" s="22">
        <f t="shared" si="22"/>
        <v>1750</v>
      </c>
      <c r="N57" s="22">
        <f t="shared" si="17"/>
        <v>21000</v>
      </c>
      <c r="O57" s="10" t="s">
        <v>117</v>
      </c>
    </row>
    <row r="58" spans="1:15" ht="5" customHeight="1" x14ac:dyDescent="0.2"/>
    <row r="59" spans="1:15" ht="16" customHeight="1" x14ac:dyDescent="0.2">
      <c r="A59" s="36" t="s">
        <v>118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10"/>
    </row>
    <row r="60" spans="1:15" ht="15" customHeight="1" x14ac:dyDescent="0.2">
      <c r="A60" s="15" t="s">
        <v>119</v>
      </c>
      <c r="B60" s="25">
        <f t="shared" ref="B60:M60" si="23">B45+B57</f>
        <v>1780.45</v>
      </c>
      <c r="C60" s="25">
        <f t="shared" si="23"/>
        <v>1792.2762499999999</v>
      </c>
      <c r="D60" s="25">
        <f t="shared" si="23"/>
        <v>1810.3321874999999</v>
      </c>
      <c r="E60" s="25">
        <f t="shared" si="23"/>
        <v>1826.7981406250001</v>
      </c>
      <c r="F60" s="25">
        <f t="shared" si="23"/>
        <v>1849.5723554687499</v>
      </c>
      <c r="G60" s="25">
        <f t="shared" si="23"/>
        <v>1872.8455166015624</v>
      </c>
      <c r="H60" s="25">
        <f t="shared" si="23"/>
        <v>1896.492887451172</v>
      </c>
      <c r="I60" s="25">
        <f t="shared" si="23"/>
        <v>1920.4209155883789</v>
      </c>
      <c r="J60" s="25">
        <f t="shared" si="23"/>
        <v>1934.4094366912841</v>
      </c>
      <c r="K60" s="25">
        <f t="shared" si="23"/>
        <v>1947.9970775184631</v>
      </c>
      <c r="L60" s="25">
        <f t="shared" si="23"/>
        <v>1961.2840581388473</v>
      </c>
      <c r="M60" s="25">
        <f t="shared" si="23"/>
        <v>1974.3455436041354</v>
      </c>
      <c r="N60" s="25">
        <f>SUM(B60:M60)</f>
        <v>22567.224369187596</v>
      </c>
      <c r="O60" s="10" t="s">
        <v>120</v>
      </c>
    </row>
    <row r="61" spans="1:15" ht="15" customHeight="1" x14ac:dyDescent="0.2">
      <c r="A61" s="24" t="s">
        <v>121</v>
      </c>
      <c r="B61" s="26">
        <f t="shared" ref="B61:M61" si="24">B37-B60</f>
        <v>-1780.45</v>
      </c>
      <c r="C61" s="26">
        <f t="shared" si="24"/>
        <v>-1787.4034999999999</v>
      </c>
      <c r="D61" s="26">
        <f t="shared" si="24"/>
        <v>-1800.180625</v>
      </c>
      <c r="E61" s="26">
        <f t="shared" si="24"/>
        <v>-1810.0886687500001</v>
      </c>
      <c r="F61" s="26">
        <f t="shared" si="24"/>
        <v>-1825.6705015625</v>
      </c>
      <c r="G61" s="26">
        <f t="shared" si="24"/>
        <v>-1840.300876171875</v>
      </c>
      <c r="H61" s="26">
        <f t="shared" si="24"/>
        <v>-1854.2176571289065</v>
      </c>
      <c r="I61" s="26">
        <f t="shared" si="24"/>
        <v>-1867.5992428466798</v>
      </c>
      <c r="J61" s="26">
        <f t="shared" si="24"/>
        <v>-1870.4294321350096</v>
      </c>
      <c r="K61" s="26">
        <f t="shared" si="24"/>
        <v>-1874.0240741012574</v>
      </c>
      <c r="L61" s="26">
        <f t="shared" si="24"/>
        <v>-1878.192055575943</v>
      </c>
      <c r="M61" s="26">
        <f t="shared" si="24"/>
        <v>-1882.7900416819571</v>
      </c>
      <c r="N61" s="26">
        <f>SUM(B61:M61)</f>
        <v>-22071.346674954126</v>
      </c>
      <c r="O61" s="10" t="s">
        <v>122</v>
      </c>
    </row>
    <row r="62" spans="1:15" ht="15" customHeight="1" x14ac:dyDescent="0.2">
      <c r="A62" s="15" t="s">
        <v>123</v>
      </c>
      <c r="B62" s="27">
        <f>B61</f>
        <v>-1780.45</v>
      </c>
      <c r="C62" s="27">
        <f t="shared" ref="C62:M62" si="25">B62+C61</f>
        <v>-3567.8535000000002</v>
      </c>
      <c r="D62" s="27">
        <f t="shared" si="25"/>
        <v>-5368.0341250000001</v>
      </c>
      <c r="E62" s="27">
        <f t="shared" si="25"/>
        <v>-7178.1227937500007</v>
      </c>
      <c r="F62" s="27">
        <f t="shared" si="25"/>
        <v>-9003.7932953125</v>
      </c>
      <c r="G62" s="27">
        <f t="shared" si="25"/>
        <v>-10844.094171484376</v>
      </c>
      <c r="H62" s="27">
        <f t="shared" si="25"/>
        <v>-12698.311828613281</v>
      </c>
      <c r="I62" s="27">
        <f t="shared" si="25"/>
        <v>-14565.911071459961</v>
      </c>
      <c r="J62" s="27">
        <f t="shared" si="25"/>
        <v>-16436.340503594969</v>
      </c>
      <c r="K62" s="27">
        <f t="shared" si="25"/>
        <v>-18310.364577696226</v>
      </c>
      <c r="L62" s="27">
        <f t="shared" si="25"/>
        <v>-20188.556633272168</v>
      </c>
      <c r="M62" s="27">
        <f t="shared" si="25"/>
        <v>-22071.346674954126</v>
      </c>
      <c r="N62" s="27">
        <f>M62</f>
        <v>-22071.346674954126</v>
      </c>
      <c r="O62" s="10" t="s">
        <v>124</v>
      </c>
    </row>
    <row r="63" spans="1:15" ht="5" customHeight="1" x14ac:dyDescent="0.2"/>
    <row r="64" spans="1:15" ht="16" customHeight="1" x14ac:dyDescent="0.2">
      <c r="A64" s="35" t="s">
        <v>125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10"/>
    </row>
    <row r="65" spans="1:15" ht="15" customHeight="1" x14ac:dyDescent="0.2">
      <c r="A65" s="11" t="s">
        <v>126</v>
      </c>
      <c r="B65" s="18">
        <f t="shared" ref="B65:M65" si="26">IF(B31&gt;0,B35/B31,0)</f>
        <v>0</v>
      </c>
      <c r="C65" s="18">
        <f t="shared" si="26"/>
        <v>7</v>
      </c>
      <c r="D65" s="18">
        <f t="shared" si="26"/>
        <v>7</v>
      </c>
      <c r="E65" s="18">
        <f t="shared" si="26"/>
        <v>7.0000000000000009</v>
      </c>
      <c r="F65" s="18">
        <f t="shared" si="26"/>
        <v>7</v>
      </c>
      <c r="G65" s="18">
        <f t="shared" si="26"/>
        <v>7</v>
      </c>
      <c r="H65" s="18">
        <f t="shared" si="26"/>
        <v>7</v>
      </c>
      <c r="I65" s="18">
        <f t="shared" si="26"/>
        <v>7</v>
      </c>
      <c r="J65" s="18">
        <f t="shared" si="26"/>
        <v>7</v>
      </c>
      <c r="K65" s="18">
        <f t="shared" si="26"/>
        <v>7.0000000000000009</v>
      </c>
      <c r="L65" s="18">
        <f t="shared" si="26"/>
        <v>7</v>
      </c>
      <c r="M65" s="18">
        <f t="shared" si="26"/>
        <v>6.9999999999999991</v>
      </c>
      <c r="N65" s="18">
        <f>SUM(B65:M65)</f>
        <v>77</v>
      </c>
      <c r="O65" s="10"/>
    </row>
    <row r="66" spans="1:15" ht="15" customHeight="1" x14ac:dyDescent="0.2">
      <c r="A66" s="11" t="s">
        <v>127</v>
      </c>
      <c r="B66" s="19">
        <f t="shared" ref="B66:M66" si="27">IF(B31&gt;0,B45/B31,0)</f>
        <v>0</v>
      </c>
      <c r="C66" s="19">
        <f t="shared" si="27"/>
        <v>56.368333333333332</v>
      </c>
      <c r="D66" s="19">
        <f t="shared" si="27"/>
        <v>38.6126</v>
      </c>
      <c r="E66" s="19">
        <f t="shared" si="27"/>
        <v>29.86075941676792</v>
      </c>
      <c r="F66" s="19">
        <f t="shared" si="27"/>
        <v>27.065749628371204</v>
      </c>
      <c r="G66" s="19">
        <f t="shared" si="27"/>
        <v>24.524078644675782</v>
      </c>
      <c r="H66" s="19">
        <f t="shared" si="27"/>
        <v>22.513521097695502</v>
      </c>
      <c r="I66" s="19">
        <f t="shared" si="27"/>
        <v>20.961560494157109</v>
      </c>
      <c r="J66" s="19">
        <f t="shared" si="27"/>
        <v>18.726289854034981</v>
      </c>
      <c r="K66" s="19">
        <f t="shared" si="27"/>
        <v>17.389952458497135</v>
      </c>
      <c r="L66" s="19">
        <f t="shared" si="27"/>
        <v>16.520392858372702</v>
      </c>
      <c r="M66" s="19">
        <f t="shared" si="27"/>
        <v>15.920102737626825</v>
      </c>
      <c r="N66" s="28"/>
      <c r="O66" s="10" t="s">
        <v>128</v>
      </c>
    </row>
    <row r="67" spans="1:15" ht="15" customHeight="1" x14ac:dyDescent="0.2">
      <c r="A67" s="15" t="s">
        <v>129</v>
      </c>
      <c r="B67" s="20">
        <f t="shared" ref="B67:M67" si="28">IF(B31&gt;0,(B37-B45)/B31,0)</f>
        <v>0</v>
      </c>
      <c r="C67" s="20">
        <f t="shared" si="28"/>
        <v>-49.871333333333325</v>
      </c>
      <c r="D67" s="20">
        <f t="shared" si="28"/>
        <v>-32.115599999999993</v>
      </c>
      <c r="E67" s="20">
        <f t="shared" si="28"/>
        <v>-23.363759416767916</v>
      </c>
      <c r="F67" s="20">
        <f t="shared" si="28"/>
        <v>-20.568749628371204</v>
      </c>
      <c r="G67" s="20">
        <f t="shared" si="28"/>
        <v>-18.027078644675782</v>
      </c>
      <c r="H67" s="20">
        <f t="shared" si="28"/>
        <v>-16.016521097695502</v>
      </c>
      <c r="I67" s="20">
        <f t="shared" si="28"/>
        <v>-14.464560494157107</v>
      </c>
      <c r="J67" s="20">
        <f t="shared" si="28"/>
        <v>-12.229289854034981</v>
      </c>
      <c r="K67" s="20">
        <f t="shared" si="28"/>
        <v>-10.892952458497133</v>
      </c>
      <c r="L67" s="20">
        <f t="shared" si="28"/>
        <v>-10.0233928583727</v>
      </c>
      <c r="M67" s="20">
        <f t="shared" si="28"/>
        <v>-9.4231027376268273</v>
      </c>
      <c r="N67" s="29"/>
      <c r="O67" s="10" t="s">
        <v>130</v>
      </c>
    </row>
    <row r="68" spans="1:15" ht="15" customHeight="1" x14ac:dyDescent="0.2">
      <c r="A68" s="11" t="s">
        <v>131</v>
      </c>
      <c r="B68" s="23">
        <f t="shared" ref="B68:M68" si="29">IF(B65&lt;&gt;0,B67/B65,0)</f>
        <v>0</v>
      </c>
      <c r="C68" s="23">
        <f t="shared" si="29"/>
        <v>-7.1244761904761891</v>
      </c>
      <c r="D68" s="23">
        <f t="shared" si="29"/>
        <v>-4.5879428571428562</v>
      </c>
      <c r="E68" s="23">
        <f t="shared" si="29"/>
        <v>-3.3376799166811306</v>
      </c>
      <c r="F68" s="23">
        <f t="shared" si="29"/>
        <v>-2.9383928040530294</v>
      </c>
      <c r="G68" s="23">
        <f t="shared" si="29"/>
        <v>-2.5752969492393976</v>
      </c>
      <c r="H68" s="23">
        <f t="shared" si="29"/>
        <v>-2.2880744425279289</v>
      </c>
      <c r="I68" s="23">
        <f t="shared" si="29"/>
        <v>-2.0663657848795869</v>
      </c>
      <c r="J68" s="23">
        <f t="shared" si="29"/>
        <v>-1.7470414077192831</v>
      </c>
      <c r="K68" s="23">
        <f t="shared" si="29"/>
        <v>-1.5561360654995902</v>
      </c>
      <c r="L68" s="23">
        <f t="shared" si="29"/>
        <v>-1.4319132654818143</v>
      </c>
      <c r="M68" s="23">
        <f t="shared" si="29"/>
        <v>-1.3461575339466898</v>
      </c>
      <c r="N68" s="23"/>
      <c r="O68" s="10" t="s">
        <v>132</v>
      </c>
    </row>
  </sheetData>
  <mergeCells count="29">
    <mergeCell ref="A1:O1"/>
    <mergeCell ref="D22:O22"/>
    <mergeCell ref="D21:O21"/>
    <mergeCell ref="D6:O6"/>
    <mergeCell ref="A2:O2"/>
    <mergeCell ref="D18:O18"/>
    <mergeCell ref="D9:O9"/>
    <mergeCell ref="A4:O4"/>
    <mergeCell ref="D12:O12"/>
    <mergeCell ref="D8:O8"/>
    <mergeCell ref="D15:O15"/>
    <mergeCell ref="D5:O5"/>
    <mergeCell ref="D14:O14"/>
    <mergeCell ref="D10:O10"/>
    <mergeCell ref="A64:N64"/>
    <mergeCell ref="A59:N59"/>
    <mergeCell ref="A51:N51"/>
    <mergeCell ref="D17:O17"/>
    <mergeCell ref="D7:O7"/>
    <mergeCell ref="D16:O16"/>
    <mergeCell ref="A27:N27"/>
    <mergeCell ref="A47:N47"/>
    <mergeCell ref="D20:O20"/>
    <mergeCell ref="D19:O19"/>
    <mergeCell ref="A25:O25"/>
    <mergeCell ref="A39:N39"/>
    <mergeCell ref="A34:N34"/>
    <mergeCell ref="D11:O11"/>
    <mergeCell ref="D13:O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O68"/>
  <sheetViews>
    <sheetView workbookViewId="0"/>
  </sheetViews>
  <sheetFormatPr baseColWidth="10" defaultColWidth="8.83203125" defaultRowHeight="15" x14ac:dyDescent="0.2"/>
  <cols>
    <col min="1" max="1" width="38" customWidth="1"/>
    <col min="2" max="13" width="10.5" customWidth="1"/>
    <col min="14" max="14" width="12" customWidth="1"/>
    <col min="15" max="15" width="62" customWidth="1"/>
  </cols>
  <sheetData>
    <row r="1" spans="1:15" ht="28" customHeight="1" x14ac:dyDescent="0.2">
      <c r="A1" s="39" t="s">
        <v>147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16" customHeight="1" x14ac:dyDescent="0.2">
      <c r="A2" s="37" t="s">
        <v>148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5" ht="8" customHeight="1" x14ac:dyDescent="0.2"/>
    <row r="4" spans="1:15" ht="18" customHeight="1" x14ac:dyDescent="0.2">
      <c r="A4" s="35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1:15" ht="15" customHeight="1" x14ac:dyDescent="0.2">
      <c r="A5" s="1" t="s">
        <v>3</v>
      </c>
      <c r="B5" s="1" t="s">
        <v>4</v>
      </c>
      <c r="C5" s="1" t="s">
        <v>5</v>
      </c>
      <c r="D5" s="38" t="s">
        <v>6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</row>
    <row r="6" spans="1:15" ht="15" customHeight="1" x14ac:dyDescent="0.2">
      <c r="A6" s="2" t="s">
        <v>7</v>
      </c>
      <c r="B6" s="3">
        <v>9</v>
      </c>
      <c r="C6" s="4" t="s">
        <v>8</v>
      </c>
      <c r="D6" s="34" t="s">
        <v>149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1:15" ht="15" customHeight="1" x14ac:dyDescent="0.2">
      <c r="A7" s="2" t="s">
        <v>10</v>
      </c>
      <c r="B7" s="5">
        <v>2.9000000000000001E-2</v>
      </c>
      <c r="C7" s="4" t="s">
        <v>11</v>
      </c>
      <c r="D7" s="34" t="s">
        <v>12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</row>
    <row r="8" spans="1:15" ht="15" customHeight="1" x14ac:dyDescent="0.2">
      <c r="A8" s="2" t="s">
        <v>13</v>
      </c>
      <c r="B8" s="3">
        <v>0.3</v>
      </c>
      <c r="C8" s="4" t="s">
        <v>14</v>
      </c>
      <c r="D8" s="34" t="s">
        <v>15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</row>
    <row r="9" spans="1:15" ht="15" customHeight="1" x14ac:dyDescent="0.2">
      <c r="A9" s="2" t="s">
        <v>16</v>
      </c>
      <c r="B9" s="5">
        <v>0.2</v>
      </c>
      <c r="C9" s="4" t="s">
        <v>11</v>
      </c>
      <c r="D9" s="34" t="s">
        <v>150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</row>
    <row r="10" spans="1:15" ht="15" customHeight="1" x14ac:dyDescent="0.2">
      <c r="A10" s="2" t="s">
        <v>18</v>
      </c>
      <c r="B10" s="5">
        <v>0.1</v>
      </c>
      <c r="C10" s="4" t="s">
        <v>11</v>
      </c>
      <c r="D10" s="34" t="s">
        <v>151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</row>
    <row r="11" spans="1:15" ht="15" customHeight="1" x14ac:dyDescent="0.2">
      <c r="A11" s="2" t="s">
        <v>20</v>
      </c>
      <c r="B11" s="3">
        <v>0.03</v>
      </c>
      <c r="C11" s="4" t="s">
        <v>21</v>
      </c>
      <c r="D11" s="34" t="s">
        <v>22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</row>
    <row r="12" spans="1:15" ht="15" customHeight="1" x14ac:dyDescent="0.2">
      <c r="A12" s="2" t="s">
        <v>23</v>
      </c>
      <c r="B12" s="6">
        <v>43</v>
      </c>
      <c r="C12" s="4" t="s">
        <v>24</v>
      </c>
      <c r="D12" s="34" t="s">
        <v>25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</row>
    <row r="13" spans="1:15" ht="15" customHeight="1" x14ac:dyDescent="0.2">
      <c r="A13" s="2" t="s">
        <v>26</v>
      </c>
      <c r="B13" s="6">
        <v>5</v>
      </c>
      <c r="C13" s="4" t="s">
        <v>24</v>
      </c>
      <c r="D13" s="34" t="s">
        <v>27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</row>
    <row r="14" spans="1:15" ht="15" customHeight="1" x14ac:dyDescent="0.2">
      <c r="A14" s="2" t="s">
        <v>28</v>
      </c>
      <c r="B14" s="6">
        <v>8</v>
      </c>
      <c r="C14" s="4" t="s">
        <v>29</v>
      </c>
      <c r="D14" s="34" t="s">
        <v>30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</row>
    <row r="15" spans="1:15" ht="15" customHeight="1" x14ac:dyDescent="0.2">
      <c r="A15" s="2" t="s">
        <v>31</v>
      </c>
      <c r="B15" s="3">
        <v>0.2</v>
      </c>
      <c r="C15" s="4" t="s">
        <v>32</v>
      </c>
      <c r="D15" s="34" t="s">
        <v>152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16" spans="1:15" ht="15" customHeight="1" x14ac:dyDescent="0.2">
      <c r="A16" s="2" t="s">
        <v>34</v>
      </c>
      <c r="B16" s="5">
        <v>0.01</v>
      </c>
      <c r="C16" s="4" t="s">
        <v>35</v>
      </c>
      <c r="D16" s="34" t="s">
        <v>153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</row>
    <row r="17" spans="1:15" ht="15" customHeight="1" x14ac:dyDescent="0.2">
      <c r="A17" s="2" t="s">
        <v>37</v>
      </c>
      <c r="B17" s="3">
        <v>15</v>
      </c>
      <c r="C17" s="4" t="s">
        <v>38</v>
      </c>
      <c r="D17" s="34" t="s">
        <v>39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</row>
    <row r="18" spans="1:15" ht="15" customHeight="1" x14ac:dyDescent="0.2">
      <c r="A18" s="2" t="s">
        <v>40</v>
      </c>
      <c r="B18" s="6">
        <v>60</v>
      </c>
      <c r="C18" s="4" t="s">
        <v>41</v>
      </c>
      <c r="D18" s="34" t="s">
        <v>154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</row>
    <row r="19" spans="1:15" ht="15" customHeight="1" x14ac:dyDescent="0.2">
      <c r="A19" s="2" t="s">
        <v>43</v>
      </c>
      <c r="B19" s="3">
        <v>165</v>
      </c>
      <c r="C19" s="4" t="s">
        <v>8</v>
      </c>
      <c r="D19" s="34" t="s">
        <v>44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</row>
    <row r="20" spans="1:15" ht="15" customHeight="1" x14ac:dyDescent="0.2">
      <c r="A20" s="2" t="s">
        <v>45</v>
      </c>
      <c r="B20" s="3">
        <v>33</v>
      </c>
      <c r="C20" s="4" t="s">
        <v>8</v>
      </c>
      <c r="D20" s="34" t="s">
        <v>46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</row>
    <row r="21" spans="1:15" ht="15" customHeight="1" x14ac:dyDescent="0.2">
      <c r="A21" s="2" t="s">
        <v>47</v>
      </c>
      <c r="B21" s="3">
        <v>70</v>
      </c>
      <c r="C21" s="4" t="s">
        <v>8</v>
      </c>
      <c r="D21" s="34" t="s">
        <v>48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</row>
    <row r="22" spans="1:15" ht="15" customHeight="1" x14ac:dyDescent="0.2">
      <c r="A22" s="2" t="s">
        <v>49</v>
      </c>
      <c r="B22" s="3">
        <v>75</v>
      </c>
      <c r="C22" s="4" t="s">
        <v>8</v>
      </c>
      <c r="D22" s="34" t="s">
        <v>50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</row>
    <row r="23" spans="1:15" ht="8" customHeight="1" x14ac:dyDescent="0.2">
      <c r="A23" t="s">
        <v>51</v>
      </c>
      <c r="B23">
        <v>0</v>
      </c>
      <c r="C23" t="s">
        <v>8</v>
      </c>
      <c r="D23" t="s">
        <v>52</v>
      </c>
    </row>
    <row r="24" spans="1:15" ht="8" customHeight="1" x14ac:dyDescent="0.2"/>
    <row r="25" spans="1:15" ht="22" customHeight="1" x14ac:dyDescent="0.2">
      <c r="A25" s="30" t="s">
        <v>155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</row>
    <row r="26" spans="1:15" ht="18" customHeight="1" x14ac:dyDescent="0.2">
      <c r="A26" s="7" t="s">
        <v>54</v>
      </c>
      <c r="B26" s="8" t="s">
        <v>55</v>
      </c>
      <c r="C26" s="8" t="s">
        <v>56</v>
      </c>
      <c r="D26" s="8" t="s">
        <v>57</v>
      </c>
      <c r="E26" s="8" t="s">
        <v>58</v>
      </c>
      <c r="F26" s="8" t="s">
        <v>59</v>
      </c>
      <c r="G26" s="8" t="s">
        <v>60</v>
      </c>
      <c r="H26" s="8" t="s">
        <v>61</v>
      </c>
      <c r="I26" s="8" t="s">
        <v>62</v>
      </c>
      <c r="J26" s="8" t="s">
        <v>63</v>
      </c>
      <c r="K26" s="8" t="s">
        <v>64</v>
      </c>
      <c r="L26" s="8" t="s">
        <v>65</v>
      </c>
      <c r="M26" s="8" t="s">
        <v>66</v>
      </c>
      <c r="N26" s="9" t="s">
        <v>67</v>
      </c>
      <c r="O26" s="7" t="s">
        <v>68</v>
      </c>
    </row>
    <row r="27" spans="1:15" ht="16" customHeight="1" x14ac:dyDescent="0.2">
      <c r="A27" s="35" t="s">
        <v>69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10"/>
    </row>
    <row r="28" spans="1:15" ht="15" customHeight="1" x14ac:dyDescent="0.2">
      <c r="A28" s="11" t="s">
        <v>70</v>
      </c>
      <c r="B28" s="6">
        <v>50</v>
      </c>
      <c r="C28" s="6">
        <v>75</v>
      </c>
      <c r="D28" s="6">
        <v>110</v>
      </c>
      <c r="E28" s="6">
        <v>150</v>
      </c>
      <c r="F28" s="6">
        <v>200</v>
      </c>
      <c r="G28" s="6">
        <v>255</v>
      </c>
      <c r="H28" s="6">
        <v>310</v>
      </c>
      <c r="I28" s="6">
        <v>360</v>
      </c>
      <c r="J28" s="6">
        <v>395</v>
      </c>
      <c r="K28" s="6">
        <v>425</v>
      </c>
      <c r="L28" s="6">
        <v>450</v>
      </c>
      <c r="M28" s="6">
        <v>475</v>
      </c>
      <c r="N28" s="12">
        <f>SUM(B28:M28)</f>
        <v>3255</v>
      </c>
      <c r="O28" s="10" t="s">
        <v>71</v>
      </c>
    </row>
    <row r="29" spans="1:15" ht="15" customHeight="1" x14ac:dyDescent="0.2">
      <c r="A29" s="11" t="s">
        <v>72</v>
      </c>
      <c r="B29" s="13">
        <v>0</v>
      </c>
      <c r="C29" s="13">
        <f t="shared" ref="C29:M29" si="0">B28*$B$9</f>
        <v>10</v>
      </c>
      <c r="D29" s="13">
        <f t="shared" si="0"/>
        <v>15</v>
      </c>
      <c r="E29" s="13">
        <f t="shared" si="0"/>
        <v>22</v>
      </c>
      <c r="F29" s="13">
        <f t="shared" si="0"/>
        <v>30</v>
      </c>
      <c r="G29" s="13">
        <f t="shared" si="0"/>
        <v>40</v>
      </c>
      <c r="H29" s="13">
        <f t="shared" si="0"/>
        <v>51</v>
      </c>
      <c r="I29" s="13">
        <f t="shared" si="0"/>
        <v>62</v>
      </c>
      <c r="J29" s="13">
        <f t="shared" si="0"/>
        <v>72</v>
      </c>
      <c r="K29" s="13">
        <f t="shared" si="0"/>
        <v>79</v>
      </c>
      <c r="L29" s="13">
        <f t="shared" si="0"/>
        <v>85</v>
      </c>
      <c r="M29" s="13">
        <f t="shared" si="0"/>
        <v>90</v>
      </c>
      <c r="N29" s="13">
        <f>SUM(B29:M29)</f>
        <v>556</v>
      </c>
      <c r="O29" s="10" t="s">
        <v>73</v>
      </c>
    </row>
    <row r="30" spans="1:15" ht="15" customHeight="1" x14ac:dyDescent="0.2">
      <c r="A30" s="11" t="s">
        <v>74</v>
      </c>
      <c r="B30" s="14">
        <v>0</v>
      </c>
      <c r="C30" s="14">
        <f t="shared" ref="C30:M30" si="1">B31*$B$10</f>
        <v>0</v>
      </c>
      <c r="D30" s="14">
        <f t="shared" si="1"/>
        <v>1</v>
      </c>
      <c r="E30" s="14">
        <f t="shared" si="1"/>
        <v>2.4000000000000004</v>
      </c>
      <c r="F30" s="14">
        <f t="shared" si="1"/>
        <v>4.3600000000000003</v>
      </c>
      <c r="G30" s="14">
        <f t="shared" si="1"/>
        <v>6.9239999999999995</v>
      </c>
      <c r="H30" s="14">
        <f t="shared" si="1"/>
        <v>10.2316</v>
      </c>
      <c r="I30" s="14">
        <f t="shared" si="1"/>
        <v>14.308440000000003</v>
      </c>
      <c r="J30" s="14">
        <f t="shared" si="1"/>
        <v>19.077596000000003</v>
      </c>
      <c r="K30" s="14">
        <f t="shared" si="1"/>
        <v>24.369836400000008</v>
      </c>
      <c r="L30" s="14">
        <f t="shared" si="1"/>
        <v>29.832852760000009</v>
      </c>
      <c r="M30" s="14">
        <f t="shared" si="1"/>
        <v>35.349567484000012</v>
      </c>
      <c r="N30" s="14">
        <f>SUM(B30:M30)</f>
        <v>147.85389264400004</v>
      </c>
      <c r="O30" s="10" t="s">
        <v>75</v>
      </c>
    </row>
    <row r="31" spans="1:15" ht="15" customHeight="1" x14ac:dyDescent="0.2">
      <c r="A31" s="15" t="s">
        <v>76</v>
      </c>
      <c r="B31" s="16">
        <f>MAX(0,0+B29-B30)</f>
        <v>0</v>
      </c>
      <c r="C31" s="16">
        <f t="shared" ref="C31:M31" si="2">MAX(0,B31+C29-C30)</f>
        <v>10</v>
      </c>
      <c r="D31" s="16">
        <f t="shared" si="2"/>
        <v>24</v>
      </c>
      <c r="E31" s="16">
        <f t="shared" si="2"/>
        <v>43.6</v>
      </c>
      <c r="F31" s="16">
        <f t="shared" si="2"/>
        <v>69.239999999999995</v>
      </c>
      <c r="G31" s="16">
        <f t="shared" si="2"/>
        <v>102.316</v>
      </c>
      <c r="H31" s="16">
        <f t="shared" si="2"/>
        <v>143.08440000000002</v>
      </c>
      <c r="I31" s="16">
        <f t="shared" si="2"/>
        <v>190.77596000000003</v>
      </c>
      <c r="J31" s="16">
        <f t="shared" si="2"/>
        <v>243.69836400000005</v>
      </c>
      <c r="K31" s="16">
        <f t="shared" si="2"/>
        <v>298.32852760000009</v>
      </c>
      <c r="L31" s="16">
        <f t="shared" si="2"/>
        <v>353.49567484000011</v>
      </c>
      <c r="M31" s="16">
        <f t="shared" si="2"/>
        <v>408.14610735600007</v>
      </c>
      <c r="N31" s="16">
        <f>M31</f>
        <v>408.14610735600007</v>
      </c>
      <c r="O31" s="10" t="s">
        <v>77</v>
      </c>
    </row>
    <row r="32" spans="1:15" ht="15" customHeight="1" x14ac:dyDescent="0.2">
      <c r="A32" s="11" t="s">
        <v>78</v>
      </c>
      <c r="B32" s="17">
        <f t="shared" ref="B32:M32" si="3">B28+B31</f>
        <v>50</v>
      </c>
      <c r="C32" s="17">
        <f t="shared" si="3"/>
        <v>85</v>
      </c>
      <c r="D32" s="17">
        <f t="shared" si="3"/>
        <v>134</v>
      </c>
      <c r="E32" s="17">
        <f t="shared" si="3"/>
        <v>193.6</v>
      </c>
      <c r="F32" s="17">
        <f t="shared" si="3"/>
        <v>269.24</v>
      </c>
      <c r="G32" s="17">
        <f t="shared" si="3"/>
        <v>357.31600000000003</v>
      </c>
      <c r="H32" s="17">
        <f t="shared" si="3"/>
        <v>453.08440000000002</v>
      </c>
      <c r="I32" s="17">
        <f t="shared" si="3"/>
        <v>550.77596000000005</v>
      </c>
      <c r="J32" s="17">
        <f t="shared" si="3"/>
        <v>638.69836400000008</v>
      </c>
      <c r="K32" s="17">
        <f t="shared" si="3"/>
        <v>723.32852760000014</v>
      </c>
      <c r="L32" s="17">
        <f t="shared" si="3"/>
        <v>803.49567484000011</v>
      </c>
      <c r="M32" s="17">
        <f t="shared" si="3"/>
        <v>883.14610735600013</v>
      </c>
      <c r="N32" s="17">
        <f>SUM(B32:M32)</f>
        <v>5141.6850337960013</v>
      </c>
      <c r="O32" s="10" t="s">
        <v>79</v>
      </c>
    </row>
    <row r="33" spans="1:15" ht="5" customHeight="1" x14ac:dyDescent="0.2"/>
    <row r="34" spans="1:15" ht="16" customHeight="1" x14ac:dyDescent="0.2">
      <c r="A34" s="33" t="s">
        <v>80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10"/>
    </row>
    <row r="35" spans="1:15" ht="15" customHeight="1" x14ac:dyDescent="0.2">
      <c r="A35" s="11" t="s">
        <v>81</v>
      </c>
      <c r="B35" s="18">
        <f t="shared" ref="B35:M35" si="4">B31*$B$6</f>
        <v>0</v>
      </c>
      <c r="C35" s="18">
        <f t="shared" si="4"/>
        <v>90</v>
      </c>
      <c r="D35" s="18">
        <f t="shared" si="4"/>
        <v>216</v>
      </c>
      <c r="E35" s="18">
        <f t="shared" si="4"/>
        <v>392.40000000000003</v>
      </c>
      <c r="F35" s="18">
        <f t="shared" si="4"/>
        <v>623.16</v>
      </c>
      <c r="G35" s="18">
        <f t="shared" si="4"/>
        <v>920.84400000000005</v>
      </c>
      <c r="H35" s="18">
        <f t="shared" si="4"/>
        <v>1287.7596000000001</v>
      </c>
      <c r="I35" s="18">
        <f t="shared" si="4"/>
        <v>1716.9836400000002</v>
      </c>
      <c r="J35" s="18">
        <f t="shared" si="4"/>
        <v>2193.2852760000005</v>
      </c>
      <c r="K35" s="18">
        <f t="shared" si="4"/>
        <v>2684.9567484000008</v>
      </c>
      <c r="L35" s="18">
        <f t="shared" si="4"/>
        <v>3181.4610735600008</v>
      </c>
      <c r="M35" s="18">
        <f t="shared" si="4"/>
        <v>3673.3149662040005</v>
      </c>
      <c r="N35" s="18">
        <f>SUM(B35:M35)</f>
        <v>16980.165304164002</v>
      </c>
      <c r="O35" s="10" t="s">
        <v>82</v>
      </c>
    </row>
    <row r="36" spans="1:15" ht="15" customHeight="1" x14ac:dyDescent="0.2">
      <c r="A36" s="11" t="s">
        <v>83</v>
      </c>
      <c r="B36" s="19">
        <f t="shared" ref="B36:M36" si="5">-(B35*$B$7+B31*$B$8)</f>
        <v>0</v>
      </c>
      <c r="C36" s="19">
        <f t="shared" si="5"/>
        <v>-5.61</v>
      </c>
      <c r="D36" s="19">
        <f t="shared" si="5"/>
        <v>-13.463999999999999</v>
      </c>
      <c r="E36" s="19">
        <f t="shared" si="5"/>
        <v>-24.459600000000002</v>
      </c>
      <c r="F36" s="19">
        <f t="shared" si="5"/>
        <v>-38.843639999999994</v>
      </c>
      <c r="G36" s="19">
        <f t="shared" si="5"/>
        <v>-57.399276</v>
      </c>
      <c r="H36" s="19">
        <f t="shared" si="5"/>
        <v>-80.270348400000017</v>
      </c>
      <c r="I36" s="19">
        <f t="shared" si="5"/>
        <v>-107.02531356000001</v>
      </c>
      <c r="J36" s="19">
        <f t="shared" si="5"/>
        <v>-136.71478220400004</v>
      </c>
      <c r="K36" s="19">
        <f t="shared" si="5"/>
        <v>-167.36230398360004</v>
      </c>
      <c r="L36" s="19">
        <f t="shared" si="5"/>
        <v>-198.31107358524005</v>
      </c>
      <c r="M36" s="19">
        <f t="shared" si="5"/>
        <v>-228.96996622671602</v>
      </c>
      <c r="N36" s="19">
        <f>SUM(B36:M36)</f>
        <v>-1058.4303039595563</v>
      </c>
      <c r="O36" s="10" t="s">
        <v>84</v>
      </c>
    </row>
    <row r="37" spans="1:15" ht="15" customHeight="1" x14ac:dyDescent="0.2">
      <c r="A37" s="15" t="s">
        <v>85</v>
      </c>
      <c r="B37" s="20">
        <f t="shared" ref="B37:M37" si="6">B35+B36</f>
        <v>0</v>
      </c>
      <c r="C37" s="20">
        <f t="shared" si="6"/>
        <v>84.39</v>
      </c>
      <c r="D37" s="20">
        <f t="shared" si="6"/>
        <v>202.536</v>
      </c>
      <c r="E37" s="20">
        <f t="shared" si="6"/>
        <v>367.94040000000001</v>
      </c>
      <c r="F37" s="20">
        <f t="shared" si="6"/>
        <v>584.31636000000003</v>
      </c>
      <c r="G37" s="20">
        <f t="shared" si="6"/>
        <v>863.44472400000006</v>
      </c>
      <c r="H37" s="20">
        <f t="shared" si="6"/>
        <v>1207.4892516</v>
      </c>
      <c r="I37" s="20">
        <f t="shared" si="6"/>
        <v>1609.9583264400001</v>
      </c>
      <c r="J37" s="20">
        <f t="shared" si="6"/>
        <v>2056.5704937960004</v>
      </c>
      <c r="K37" s="20">
        <f t="shared" si="6"/>
        <v>2517.5944444164006</v>
      </c>
      <c r="L37" s="20">
        <f t="shared" si="6"/>
        <v>2983.1499999747607</v>
      </c>
      <c r="M37" s="20">
        <f t="shared" si="6"/>
        <v>3444.3449999772843</v>
      </c>
      <c r="N37" s="20">
        <f>SUM(B37:M37)</f>
        <v>15921.735000204446</v>
      </c>
      <c r="O37" s="10" t="s">
        <v>86</v>
      </c>
    </row>
    <row r="38" spans="1:15" ht="5" customHeight="1" x14ac:dyDescent="0.2"/>
    <row r="39" spans="1:15" ht="16" customHeight="1" x14ac:dyDescent="0.2">
      <c r="A39" s="32" t="s">
        <v>87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10"/>
    </row>
    <row r="40" spans="1:15" ht="15" customHeight="1" x14ac:dyDescent="0.2">
      <c r="A40" s="11" t="s">
        <v>88</v>
      </c>
      <c r="B40" s="19">
        <f t="shared" ref="B40:M40" si="7">B31*$B$12*$B$11</f>
        <v>0</v>
      </c>
      <c r="C40" s="19">
        <f t="shared" si="7"/>
        <v>12.9</v>
      </c>
      <c r="D40" s="19">
        <f t="shared" si="7"/>
        <v>30.959999999999997</v>
      </c>
      <c r="E40" s="19">
        <f t="shared" si="7"/>
        <v>56.244</v>
      </c>
      <c r="F40" s="19">
        <f t="shared" si="7"/>
        <v>89.319599999999994</v>
      </c>
      <c r="G40" s="19">
        <f t="shared" si="7"/>
        <v>131.98764</v>
      </c>
      <c r="H40" s="19">
        <f t="shared" si="7"/>
        <v>184.57887600000001</v>
      </c>
      <c r="I40" s="19">
        <f t="shared" si="7"/>
        <v>246.10098840000006</v>
      </c>
      <c r="J40" s="19">
        <f t="shared" si="7"/>
        <v>314.37088956000008</v>
      </c>
      <c r="K40" s="19">
        <f t="shared" si="7"/>
        <v>384.84380060400008</v>
      </c>
      <c r="L40" s="19">
        <f t="shared" si="7"/>
        <v>456.00942054360013</v>
      </c>
      <c r="M40" s="19">
        <f t="shared" si="7"/>
        <v>526.50847848924002</v>
      </c>
      <c r="N40" s="19">
        <f t="shared" ref="N40:N45" si="8">SUM(B40:M40)</f>
        <v>2433.8236935968403</v>
      </c>
      <c r="O40" s="10" t="s">
        <v>89</v>
      </c>
    </row>
    <row r="41" spans="1:15" ht="15" customHeight="1" x14ac:dyDescent="0.2">
      <c r="A41" s="11" t="s">
        <v>90</v>
      </c>
      <c r="B41" s="19">
        <f t="shared" ref="B41:M41" si="9">B28*$B$14*$B$13*$B$11</f>
        <v>60</v>
      </c>
      <c r="C41" s="19">
        <f t="shared" si="9"/>
        <v>90</v>
      </c>
      <c r="D41" s="19">
        <f t="shared" si="9"/>
        <v>132</v>
      </c>
      <c r="E41" s="19">
        <f t="shared" si="9"/>
        <v>180</v>
      </c>
      <c r="F41" s="19">
        <f t="shared" si="9"/>
        <v>240</v>
      </c>
      <c r="G41" s="19">
        <f t="shared" si="9"/>
        <v>306</v>
      </c>
      <c r="H41" s="19">
        <f t="shared" si="9"/>
        <v>372</v>
      </c>
      <c r="I41" s="19">
        <f t="shared" si="9"/>
        <v>432</v>
      </c>
      <c r="J41" s="19">
        <f t="shared" si="9"/>
        <v>474</v>
      </c>
      <c r="K41" s="19">
        <f t="shared" si="9"/>
        <v>510</v>
      </c>
      <c r="L41" s="19">
        <f t="shared" si="9"/>
        <v>540</v>
      </c>
      <c r="M41" s="19">
        <f t="shared" si="9"/>
        <v>570</v>
      </c>
      <c r="N41" s="19">
        <f t="shared" si="8"/>
        <v>3906</v>
      </c>
      <c r="O41" s="10" t="s">
        <v>91</v>
      </c>
    </row>
    <row r="42" spans="1:15" ht="15" customHeight="1" x14ac:dyDescent="0.2">
      <c r="A42" s="11" t="s">
        <v>92</v>
      </c>
      <c r="B42" s="19">
        <f t="shared" ref="B42:M42" si="10">B32*$B$15</f>
        <v>10</v>
      </c>
      <c r="C42" s="19">
        <f t="shared" si="10"/>
        <v>17</v>
      </c>
      <c r="D42" s="19">
        <f t="shared" si="10"/>
        <v>26.8</v>
      </c>
      <c r="E42" s="19">
        <f t="shared" si="10"/>
        <v>38.72</v>
      </c>
      <c r="F42" s="19">
        <f t="shared" si="10"/>
        <v>53.848000000000006</v>
      </c>
      <c r="G42" s="19">
        <f t="shared" si="10"/>
        <v>71.463200000000015</v>
      </c>
      <c r="H42" s="19">
        <f t="shared" si="10"/>
        <v>90.616880000000009</v>
      </c>
      <c r="I42" s="19">
        <f t="shared" si="10"/>
        <v>110.15519200000001</v>
      </c>
      <c r="J42" s="19">
        <f t="shared" si="10"/>
        <v>127.73967280000002</v>
      </c>
      <c r="K42" s="19">
        <f t="shared" si="10"/>
        <v>144.66570552000005</v>
      </c>
      <c r="L42" s="19">
        <f t="shared" si="10"/>
        <v>160.69913496800004</v>
      </c>
      <c r="M42" s="19">
        <f t="shared" si="10"/>
        <v>176.62922147120003</v>
      </c>
      <c r="N42" s="19">
        <f t="shared" si="8"/>
        <v>1028.3370067592002</v>
      </c>
      <c r="O42" s="10" t="s">
        <v>93</v>
      </c>
    </row>
    <row r="43" spans="1:15" ht="15" customHeight="1" x14ac:dyDescent="0.2">
      <c r="A43" s="11" t="s">
        <v>94</v>
      </c>
      <c r="B43" s="19">
        <f t="shared" ref="B43:M43" si="11">B35*$B$16</f>
        <v>0</v>
      </c>
      <c r="C43" s="19">
        <f t="shared" si="11"/>
        <v>0.9</v>
      </c>
      <c r="D43" s="19">
        <f t="shared" si="11"/>
        <v>2.16</v>
      </c>
      <c r="E43" s="19">
        <f t="shared" si="11"/>
        <v>3.9240000000000004</v>
      </c>
      <c r="F43" s="19">
        <f t="shared" si="11"/>
        <v>6.2316000000000003</v>
      </c>
      <c r="G43" s="19">
        <f t="shared" si="11"/>
        <v>9.2084400000000013</v>
      </c>
      <c r="H43" s="19">
        <f t="shared" si="11"/>
        <v>12.877596</v>
      </c>
      <c r="I43" s="19">
        <f t="shared" si="11"/>
        <v>17.169836400000001</v>
      </c>
      <c r="J43" s="19">
        <f t="shared" si="11"/>
        <v>21.932852760000006</v>
      </c>
      <c r="K43" s="19">
        <f t="shared" si="11"/>
        <v>26.849567484000008</v>
      </c>
      <c r="L43" s="19">
        <f t="shared" si="11"/>
        <v>31.814610735600009</v>
      </c>
      <c r="M43" s="19">
        <f t="shared" si="11"/>
        <v>36.733149662040006</v>
      </c>
      <c r="N43" s="19">
        <f t="shared" si="8"/>
        <v>169.80165304164004</v>
      </c>
      <c r="O43" s="10" t="s">
        <v>95</v>
      </c>
    </row>
    <row r="44" spans="1:15" ht="15" customHeight="1" x14ac:dyDescent="0.2">
      <c r="A44" s="11" t="s">
        <v>96</v>
      </c>
      <c r="B44" s="19">
        <f t="shared" ref="B44:M44" si="12">B35*0.005</f>
        <v>0</v>
      </c>
      <c r="C44" s="19">
        <f t="shared" si="12"/>
        <v>0.45</v>
      </c>
      <c r="D44" s="19">
        <f t="shared" si="12"/>
        <v>1.08</v>
      </c>
      <c r="E44" s="19">
        <f t="shared" si="12"/>
        <v>1.9620000000000002</v>
      </c>
      <c r="F44" s="19">
        <f t="shared" si="12"/>
        <v>3.1158000000000001</v>
      </c>
      <c r="G44" s="19">
        <f t="shared" si="12"/>
        <v>4.6042200000000006</v>
      </c>
      <c r="H44" s="19">
        <f t="shared" si="12"/>
        <v>6.4387980000000002</v>
      </c>
      <c r="I44" s="19">
        <f t="shared" si="12"/>
        <v>8.5849182000000006</v>
      </c>
      <c r="J44" s="19">
        <f t="shared" si="12"/>
        <v>10.966426380000003</v>
      </c>
      <c r="K44" s="19">
        <f t="shared" si="12"/>
        <v>13.424783742000004</v>
      </c>
      <c r="L44" s="19">
        <f t="shared" si="12"/>
        <v>15.907305367800005</v>
      </c>
      <c r="M44" s="19">
        <f t="shared" si="12"/>
        <v>18.366574831020003</v>
      </c>
      <c r="N44" s="19">
        <f t="shared" si="8"/>
        <v>84.900826520820019</v>
      </c>
      <c r="O44" s="10" t="s">
        <v>97</v>
      </c>
    </row>
    <row r="45" spans="1:15" ht="15" customHeight="1" x14ac:dyDescent="0.2">
      <c r="A45" s="21" t="s">
        <v>98</v>
      </c>
      <c r="B45" s="22">
        <f t="shared" ref="B45:M45" si="13">SUM(B40:B44)</f>
        <v>70</v>
      </c>
      <c r="C45" s="22">
        <f t="shared" si="13"/>
        <v>121.25000000000001</v>
      </c>
      <c r="D45" s="22">
        <f t="shared" si="13"/>
        <v>193.00000000000003</v>
      </c>
      <c r="E45" s="22">
        <f t="shared" si="13"/>
        <v>280.84999999999997</v>
      </c>
      <c r="F45" s="22">
        <f t="shared" si="13"/>
        <v>392.51499999999999</v>
      </c>
      <c r="G45" s="22">
        <f t="shared" si="13"/>
        <v>523.26350000000014</v>
      </c>
      <c r="H45" s="22">
        <f t="shared" si="13"/>
        <v>666.51215000000013</v>
      </c>
      <c r="I45" s="22">
        <f t="shared" si="13"/>
        <v>814.01093500000002</v>
      </c>
      <c r="J45" s="22">
        <f t="shared" si="13"/>
        <v>949.00984150000011</v>
      </c>
      <c r="K45" s="22">
        <f t="shared" si="13"/>
        <v>1079.7838573500003</v>
      </c>
      <c r="L45" s="22">
        <f t="shared" si="13"/>
        <v>1204.430471615</v>
      </c>
      <c r="M45" s="22">
        <f t="shared" si="13"/>
        <v>1328.2374244535001</v>
      </c>
      <c r="N45" s="22">
        <f t="shared" si="8"/>
        <v>7622.8631799185005</v>
      </c>
      <c r="O45" s="10" t="s">
        <v>99</v>
      </c>
    </row>
    <row r="46" spans="1:15" ht="5" customHeight="1" x14ac:dyDescent="0.2"/>
    <row r="47" spans="1:15" ht="16" customHeight="1" x14ac:dyDescent="0.2">
      <c r="A47" s="33" t="s">
        <v>100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10"/>
    </row>
    <row r="48" spans="1:15" ht="15" customHeight="1" x14ac:dyDescent="0.2">
      <c r="A48" s="15" t="s">
        <v>101</v>
      </c>
      <c r="B48" s="20">
        <f t="shared" ref="B48:M48" si="14">B37-B45</f>
        <v>-70</v>
      </c>
      <c r="C48" s="20">
        <f t="shared" si="14"/>
        <v>-36.860000000000014</v>
      </c>
      <c r="D48" s="20">
        <f t="shared" si="14"/>
        <v>9.5359999999999729</v>
      </c>
      <c r="E48" s="20">
        <f t="shared" si="14"/>
        <v>87.090400000000045</v>
      </c>
      <c r="F48" s="20">
        <f t="shared" si="14"/>
        <v>191.80136000000005</v>
      </c>
      <c r="G48" s="20">
        <f t="shared" si="14"/>
        <v>340.18122399999993</v>
      </c>
      <c r="H48" s="20">
        <f t="shared" si="14"/>
        <v>540.97710159999986</v>
      </c>
      <c r="I48" s="20">
        <f t="shared" si="14"/>
        <v>795.94739144000005</v>
      </c>
      <c r="J48" s="20">
        <f t="shared" si="14"/>
        <v>1107.5606522960002</v>
      </c>
      <c r="K48" s="20">
        <f t="shared" si="14"/>
        <v>1437.8105870664003</v>
      </c>
      <c r="L48" s="20">
        <f t="shared" si="14"/>
        <v>1778.7195283597607</v>
      </c>
      <c r="M48" s="20">
        <f t="shared" si="14"/>
        <v>2116.1075755237844</v>
      </c>
      <c r="N48" s="20">
        <f>SUM(B48:M48)</f>
        <v>8298.8718202859454</v>
      </c>
      <c r="O48" s="10" t="s">
        <v>102</v>
      </c>
    </row>
    <row r="49" spans="1:15" ht="15" customHeight="1" x14ac:dyDescent="0.2">
      <c r="A49" s="11" t="s">
        <v>103</v>
      </c>
      <c r="B49" s="23">
        <f t="shared" ref="B49:M49" si="15">IF(B37&lt;&gt;0,B48/B37,0)</f>
        <v>0</v>
      </c>
      <c r="C49" s="23">
        <f t="shared" si="15"/>
        <v>-0.43678160919540243</v>
      </c>
      <c r="D49" s="23">
        <f t="shared" si="15"/>
        <v>4.7082987715763976E-2</v>
      </c>
      <c r="E49" s="23">
        <f t="shared" si="15"/>
        <v>0.23669703027990413</v>
      </c>
      <c r="F49" s="23">
        <f t="shared" si="15"/>
        <v>0.32824916967924711</v>
      </c>
      <c r="G49" s="23">
        <f t="shared" si="15"/>
        <v>0.39398147275030415</v>
      </c>
      <c r="H49" s="23">
        <f t="shared" si="15"/>
        <v>0.4480181507894756</v>
      </c>
      <c r="I49" s="23">
        <f t="shared" si="15"/>
        <v>0.49439005865451724</v>
      </c>
      <c r="J49" s="23">
        <f t="shared" si="15"/>
        <v>0.53854738052361828</v>
      </c>
      <c r="K49" s="23">
        <f t="shared" si="15"/>
        <v>0.57110492528104417</v>
      </c>
      <c r="L49" s="23">
        <f t="shared" si="15"/>
        <v>0.59625547772482435</v>
      </c>
      <c r="M49" s="23">
        <f t="shared" si="15"/>
        <v>0.61437154975408681</v>
      </c>
      <c r="N49" s="23">
        <f>SUM(B49:M49)</f>
        <v>3.8319165939573838</v>
      </c>
      <c r="O49" s="10" t="s">
        <v>104</v>
      </c>
    </row>
    <row r="50" spans="1:15" ht="5" customHeight="1" x14ac:dyDescent="0.2"/>
    <row r="51" spans="1:15" ht="16" customHeight="1" x14ac:dyDescent="0.2">
      <c r="A51" s="32" t="s">
        <v>105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10"/>
    </row>
    <row r="52" spans="1:15" ht="15" customHeight="1" x14ac:dyDescent="0.2">
      <c r="A52" s="11" t="s">
        <v>106</v>
      </c>
      <c r="B52" s="19">
        <f t="shared" ref="B52:M52" si="16">$B$17*$B$18</f>
        <v>900</v>
      </c>
      <c r="C52" s="19">
        <f t="shared" si="16"/>
        <v>900</v>
      </c>
      <c r="D52" s="19">
        <f t="shared" si="16"/>
        <v>900</v>
      </c>
      <c r="E52" s="19">
        <f t="shared" si="16"/>
        <v>900</v>
      </c>
      <c r="F52" s="19">
        <f t="shared" si="16"/>
        <v>900</v>
      </c>
      <c r="G52" s="19">
        <f t="shared" si="16"/>
        <v>900</v>
      </c>
      <c r="H52" s="19">
        <f t="shared" si="16"/>
        <v>900</v>
      </c>
      <c r="I52" s="19">
        <f t="shared" si="16"/>
        <v>900</v>
      </c>
      <c r="J52" s="19">
        <f t="shared" si="16"/>
        <v>900</v>
      </c>
      <c r="K52" s="19">
        <f t="shared" si="16"/>
        <v>900</v>
      </c>
      <c r="L52" s="19">
        <f t="shared" si="16"/>
        <v>900</v>
      </c>
      <c r="M52" s="19">
        <f t="shared" si="16"/>
        <v>900</v>
      </c>
      <c r="N52" s="19">
        <f t="shared" ref="N52:N57" si="17">SUM(B52:M52)</f>
        <v>10800</v>
      </c>
      <c r="O52" s="10" t="s">
        <v>107</v>
      </c>
    </row>
    <row r="53" spans="1:15" ht="15" customHeight="1" x14ac:dyDescent="0.2">
      <c r="A53" s="11" t="s">
        <v>108</v>
      </c>
      <c r="B53" s="19">
        <f t="shared" ref="B53:M53" si="18">$B$21</f>
        <v>70</v>
      </c>
      <c r="C53" s="19">
        <f t="shared" si="18"/>
        <v>70</v>
      </c>
      <c r="D53" s="19">
        <f t="shared" si="18"/>
        <v>70</v>
      </c>
      <c r="E53" s="19">
        <f t="shared" si="18"/>
        <v>70</v>
      </c>
      <c r="F53" s="19">
        <f t="shared" si="18"/>
        <v>70</v>
      </c>
      <c r="G53" s="19">
        <f t="shared" si="18"/>
        <v>70</v>
      </c>
      <c r="H53" s="19">
        <f t="shared" si="18"/>
        <v>70</v>
      </c>
      <c r="I53" s="19">
        <f t="shared" si="18"/>
        <v>70</v>
      </c>
      <c r="J53" s="19">
        <f t="shared" si="18"/>
        <v>70</v>
      </c>
      <c r="K53" s="19">
        <f t="shared" si="18"/>
        <v>70</v>
      </c>
      <c r="L53" s="19">
        <f t="shared" si="18"/>
        <v>70</v>
      </c>
      <c r="M53" s="19">
        <f t="shared" si="18"/>
        <v>70</v>
      </c>
      <c r="N53" s="19">
        <f t="shared" si="17"/>
        <v>840</v>
      </c>
      <c r="O53" s="10" t="s">
        <v>109</v>
      </c>
    </row>
    <row r="54" spans="1:15" ht="15" customHeight="1" x14ac:dyDescent="0.2">
      <c r="A54" s="11" t="s">
        <v>110</v>
      </c>
      <c r="B54" s="19">
        <f t="shared" ref="B54:M54" si="19">$B$22</f>
        <v>75</v>
      </c>
      <c r="C54" s="19">
        <f t="shared" si="19"/>
        <v>75</v>
      </c>
      <c r="D54" s="19">
        <f t="shared" si="19"/>
        <v>75</v>
      </c>
      <c r="E54" s="19">
        <f t="shared" si="19"/>
        <v>75</v>
      </c>
      <c r="F54" s="19">
        <f t="shared" si="19"/>
        <v>75</v>
      </c>
      <c r="G54" s="19">
        <f t="shared" si="19"/>
        <v>75</v>
      </c>
      <c r="H54" s="19">
        <f t="shared" si="19"/>
        <v>75</v>
      </c>
      <c r="I54" s="19">
        <f t="shared" si="19"/>
        <v>75</v>
      </c>
      <c r="J54" s="19">
        <f t="shared" si="19"/>
        <v>75</v>
      </c>
      <c r="K54" s="19">
        <f t="shared" si="19"/>
        <v>75</v>
      </c>
      <c r="L54" s="19">
        <f t="shared" si="19"/>
        <v>75</v>
      </c>
      <c r="M54" s="19">
        <f t="shared" si="19"/>
        <v>75</v>
      </c>
      <c r="N54" s="19">
        <f t="shared" si="17"/>
        <v>900</v>
      </c>
      <c r="O54" s="10" t="s">
        <v>111</v>
      </c>
    </row>
    <row r="55" spans="1:15" ht="15" customHeight="1" x14ac:dyDescent="0.2">
      <c r="A55" s="11" t="s">
        <v>112</v>
      </c>
      <c r="B55" s="19">
        <f t="shared" ref="B55:M55" si="20">$B$19</f>
        <v>165</v>
      </c>
      <c r="C55" s="19">
        <f t="shared" si="20"/>
        <v>165</v>
      </c>
      <c r="D55" s="19">
        <f t="shared" si="20"/>
        <v>165</v>
      </c>
      <c r="E55" s="19">
        <f t="shared" si="20"/>
        <v>165</v>
      </c>
      <c r="F55" s="19">
        <f t="shared" si="20"/>
        <v>165</v>
      </c>
      <c r="G55" s="19">
        <f t="shared" si="20"/>
        <v>165</v>
      </c>
      <c r="H55" s="19">
        <f t="shared" si="20"/>
        <v>165</v>
      </c>
      <c r="I55" s="19">
        <f t="shared" si="20"/>
        <v>165</v>
      </c>
      <c r="J55" s="19">
        <f t="shared" si="20"/>
        <v>165</v>
      </c>
      <c r="K55" s="19">
        <f t="shared" si="20"/>
        <v>165</v>
      </c>
      <c r="L55" s="19">
        <f t="shared" si="20"/>
        <v>165</v>
      </c>
      <c r="M55" s="19">
        <f t="shared" si="20"/>
        <v>165</v>
      </c>
      <c r="N55" s="19">
        <f t="shared" si="17"/>
        <v>1980</v>
      </c>
      <c r="O55" s="10" t="s">
        <v>113</v>
      </c>
    </row>
    <row r="56" spans="1:15" ht="15" customHeight="1" x14ac:dyDescent="0.2">
      <c r="A56" s="11" t="s">
        <v>114</v>
      </c>
      <c r="B56" s="19">
        <f t="shared" ref="B56:M56" si="21">$B$20</f>
        <v>33</v>
      </c>
      <c r="C56" s="19">
        <f t="shared" si="21"/>
        <v>33</v>
      </c>
      <c r="D56" s="19">
        <f t="shared" si="21"/>
        <v>33</v>
      </c>
      <c r="E56" s="19">
        <f t="shared" si="21"/>
        <v>33</v>
      </c>
      <c r="F56" s="19">
        <f t="shared" si="21"/>
        <v>33</v>
      </c>
      <c r="G56" s="19">
        <f t="shared" si="21"/>
        <v>33</v>
      </c>
      <c r="H56" s="19">
        <f t="shared" si="21"/>
        <v>33</v>
      </c>
      <c r="I56" s="19">
        <f t="shared" si="21"/>
        <v>33</v>
      </c>
      <c r="J56" s="19">
        <f t="shared" si="21"/>
        <v>33</v>
      </c>
      <c r="K56" s="19">
        <f t="shared" si="21"/>
        <v>33</v>
      </c>
      <c r="L56" s="19">
        <f t="shared" si="21"/>
        <v>33</v>
      </c>
      <c r="M56" s="19">
        <f t="shared" si="21"/>
        <v>33</v>
      </c>
      <c r="N56" s="19">
        <f t="shared" si="17"/>
        <v>396</v>
      </c>
      <c r="O56" s="10" t="s">
        <v>115</v>
      </c>
    </row>
    <row r="57" spans="1:15" ht="15" customHeight="1" x14ac:dyDescent="0.2">
      <c r="A57" s="21" t="s">
        <v>116</v>
      </c>
      <c r="B57" s="22">
        <f t="shared" ref="B57:M57" si="22">SUM(B52:B56)+$B$23</f>
        <v>1243</v>
      </c>
      <c r="C57" s="22">
        <f t="shared" si="22"/>
        <v>1243</v>
      </c>
      <c r="D57" s="22">
        <f t="shared" si="22"/>
        <v>1243</v>
      </c>
      <c r="E57" s="22">
        <f t="shared" si="22"/>
        <v>1243</v>
      </c>
      <c r="F57" s="22">
        <f t="shared" si="22"/>
        <v>1243</v>
      </c>
      <c r="G57" s="22">
        <f t="shared" si="22"/>
        <v>1243</v>
      </c>
      <c r="H57" s="22">
        <f t="shared" si="22"/>
        <v>1243</v>
      </c>
      <c r="I57" s="22">
        <f t="shared" si="22"/>
        <v>1243</v>
      </c>
      <c r="J57" s="22">
        <f t="shared" si="22"/>
        <v>1243</v>
      </c>
      <c r="K57" s="22">
        <f t="shared" si="22"/>
        <v>1243</v>
      </c>
      <c r="L57" s="22">
        <f t="shared" si="22"/>
        <v>1243</v>
      </c>
      <c r="M57" s="22">
        <f t="shared" si="22"/>
        <v>1243</v>
      </c>
      <c r="N57" s="22">
        <f t="shared" si="17"/>
        <v>14916</v>
      </c>
      <c r="O57" s="10" t="s">
        <v>117</v>
      </c>
    </row>
    <row r="58" spans="1:15" ht="5" customHeight="1" x14ac:dyDescent="0.2"/>
    <row r="59" spans="1:15" ht="16" customHeight="1" x14ac:dyDescent="0.2">
      <c r="A59" s="36" t="s">
        <v>118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10"/>
    </row>
    <row r="60" spans="1:15" ht="15" customHeight="1" x14ac:dyDescent="0.2">
      <c r="A60" s="15" t="s">
        <v>119</v>
      </c>
      <c r="B60" s="25">
        <f t="shared" ref="B60:M60" si="23">B45+B57</f>
        <v>1313</v>
      </c>
      <c r="C60" s="25">
        <f t="shared" si="23"/>
        <v>1364.25</v>
      </c>
      <c r="D60" s="25">
        <f t="shared" si="23"/>
        <v>1436</v>
      </c>
      <c r="E60" s="25">
        <f t="shared" si="23"/>
        <v>1523.85</v>
      </c>
      <c r="F60" s="25">
        <f t="shared" si="23"/>
        <v>1635.5149999999999</v>
      </c>
      <c r="G60" s="25">
        <f t="shared" si="23"/>
        <v>1766.2635</v>
      </c>
      <c r="H60" s="25">
        <f t="shared" si="23"/>
        <v>1909.51215</v>
      </c>
      <c r="I60" s="25">
        <f t="shared" si="23"/>
        <v>2057.0109350000002</v>
      </c>
      <c r="J60" s="25">
        <f t="shared" si="23"/>
        <v>2192.0098415000002</v>
      </c>
      <c r="K60" s="25">
        <f t="shared" si="23"/>
        <v>2322.7838573500003</v>
      </c>
      <c r="L60" s="25">
        <f t="shared" si="23"/>
        <v>2447.430471615</v>
      </c>
      <c r="M60" s="25">
        <f t="shared" si="23"/>
        <v>2571.2374244535004</v>
      </c>
      <c r="N60" s="25">
        <f>SUM(B60:M60)</f>
        <v>22538.863179918502</v>
      </c>
      <c r="O60" s="10" t="s">
        <v>120</v>
      </c>
    </row>
    <row r="61" spans="1:15" ht="15" customHeight="1" x14ac:dyDescent="0.2">
      <c r="A61" s="24" t="s">
        <v>121</v>
      </c>
      <c r="B61" s="26">
        <f t="shared" ref="B61:M61" si="24">B37-B60</f>
        <v>-1313</v>
      </c>
      <c r="C61" s="26">
        <f t="shared" si="24"/>
        <v>-1279.8599999999999</v>
      </c>
      <c r="D61" s="26">
        <f t="shared" si="24"/>
        <v>-1233.4639999999999</v>
      </c>
      <c r="E61" s="26">
        <f t="shared" si="24"/>
        <v>-1155.9096</v>
      </c>
      <c r="F61" s="26">
        <f t="shared" si="24"/>
        <v>-1051.1986399999998</v>
      </c>
      <c r="G61" s="26">
        <f t="shared" si="24"/>
        <v>-902.81877599999996</v>
      </c>
      <c r="H61" s="26">
        <f t="shared" si="24"/>
        <v>-702.02289840000003</v>
      </c>
      <c r="I61" s="26">
        <f t="shared" si="24"/>
        <v>-447.05260856000018</v>
      </c>
      <c r="J61" s="26">
        <f t="shared" si="24"/>
        <v>-135.43934770399983</v>
      </c>
      <c r="K61" s="26">
        <f t="shared" si="24"/>
        <v>194.81058706640033</v>
      </c>
      <c r="L61" s="26">
        <f t="shared" si="24"/>
        <v>535.71952835976072</v>
      </c>
      <c r="M61" s="26">
        <f t="shared" si="24"/>
        <v>873.10757552378391</v>
      </c>
      <c r="N61" s="26">
        <f>SUM(B61:M61)</f>
        <v>-6617.1281797140546</v>
      </c>
      <c r="O61" s="10" t="s">
        <v>122</v>
      </c>
    </row>
    <row r="62" spans="1:15" ht="15" customHeight="1" x14ac:dyDescent="0.2">
      <c r="A62" s="15" t="s">
        <v>123</v>
      </c>
      <c r="B62" s="27">
        <f>B61</f>
        <v>-1313</v>
      </c>
      <c r="C62" s="27">
        <f t="shared" ref="C62:M62" si="25">B62+C61</f>
        <v>-2592.8599999999997</v>
      </c>
      <c r="D62" s="27">
        <f t="shared" si="25"/>
        <v>-3826.3239999999996</v>
      </c>
      <c r="E62" s="27">
        <f t="shared" si="25"/>
        <v>-4982.2335999999996</v>
      </c>
      <c r="F62" s="27">
        <f t="shared" si="25"/>
        <v>-6033.4322399999992</v>
      </c>
      <c r="G62" s="27">
        <f t="shared" si="25"/>
        <v>-6936.2510159999993</v>
      </c>
      <c r="H62" s="27">
        <f t="shared" si="25"/>
        <v>-7638.2739143999988</v>
      </c>
      <c r="I62" s="27">
        <f t="shared" si="25"/>
        <v>-8085.3265229599992</v>
      </c>
      <c r="J62" s="27">
        <f t="shared" si="25"/>
        <v>-8220.7658706639995</v>
      </c>
      <c r="K62" s="27">
        <f t="shared" si="25"/>
        <v>-8025.9552835975992</v>
      </c>
      <c r="L62" s="27">
        <f t="shared" si="25"/>
        <v>-7490.235755237838</v>
      </c>
      <c r="M62" s="27">
        <f t="shared" si="25"/>
        <v>-6617.1281797140546</v>
      </c>
      <c r="N62" s="27">
        <f>M62</f>
        <v>-6617.1281797140546</v>
      </c>
      <c r="O62" s="10" t="s">
        <v>124</v>
      </c>
    </row>
    <row r="63" spans="1:15" ht="5" customHeight="1" x14ac:dyDescent="0.2"/>
    <row r="64" spans="1:15" ht="16" customHeight="1" x14ac:dyDescent="0.2">
      <c r="A64" s="35" t="s">
        <v>125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10"/>
    </row>
    <row r="65" spans="1:15" ht="15" customHeight="1" x14ac:dyDescent="0.2">
      <c r="A65" s="11" t="s">
        <v>126</v>
      </c>
      <c r="B65" s="18">
        <f t="shared" ref="B65:M65" si="26">IF(B31&gt;0,B35/B31,0)</f>
        <v>0</v>
      </c>
      <c r="C65" s="18">
        <f t="shared" si="26"/>
        <v>9</v>
      </c>
      <c r="D65" s="18">
        <f t="shared" si="26"/>
        <v>9</v>
      </c>
      <c r="E65" s="18">
        <f t="shared" si="26"/>
        <v>9</v>
      </c>
      <c r="F65" s="18">
        <f t="shared" si="26"/>
        <v>9</v>
      </c>
      <c r="G65" s="18">
        <f t="shared" si="26"/>
        <v>9</v>
      </c>
      <c r="H65" s="18">
        <f t="shared" si="26"/>
        <v>9</v>
      </c>
      <c r="I65" s="18">
        <f t="shared" si="26"/>
        <v>9</v>
      </c>
      <c r="J65" s="18">
        <f t="shared" si="26"/>
        <v>9</v>
      </c>
      <c r="K65" s="18">
        <f t="shared" si="26"/>
        <v>9</v>
      </c>
      <c r="L65" s="18">
        <f t="shared" si="26"/>
        <v>9</v>
      </c>
      <c r="M65" s="18">
        <f t="shared" si="26"/>
        <v>9</v>
      </c>
      <c r="N65" s="18">
        <f>SUM(B65:M65)</f>
        <v>99</v>
      </c>
      <c r="O65" s="10"/>
    </row>
    <row r="66" spans="1:15" ht="15" customHeight="1" x14ac:dyDescent="0.2">
      <c r="A66" s="11" t="s">
        <v>127</v>
      </c>
      <c r="B66" s="19">
        <f t="shared" ref="B66:M66" si="27">IF(B31&gt;0,B45/B31,0)</f>
        <v>0</v>
      </c>
      <c r="C66" s="19">
        <f t="shared" si="27"/>
        <v>12.125000000000002</v>
      </c>
      <c r="D66" s="19">
        <f t="shared" si="27"/>
        <v>8.0416666666666679</v>
      </c>
      <c r="E66" s="19">
        <f t="shared" si="27"/>
        <v>6.4415137614678892</v>
      </c>
      <c r="F66" s="19">
        <f t="shared" si="27"/>
        <v>5.6689052570768341</v>
      </c>
      <c r="G66" s="19">
        <f t="shared" si="27"/>
        <v>5.1141903514601834</v>
      </c>
      <c r="H66" s="19">
        <f t="shared" si="27"/>
        <v>4.658174825487615</v>
      </c>
      <c r="I66" s="19">
        <f t="shared" si="27"/>
        <v>4.2668422950145288</v>
      </c>
      <c r="J66" s="19">
        <f t="shared" si="27"/>
        <v>3.8941986557611847</v>
      </c>
      <c r="K66" s="19">
        <f t="shared" si="27"/>
        <v>3.6194455355532682</v>
      </c>
      <c r="L66" s="19">
        <f t="shared" si="27"/>
        <v>3.4072000234802071</v>
      </c>
      <c r="M66" s="19">
        <f t="shared" si="27"/>
        <v>3.2543184916252614</v>
      </c>
      <c r="N66" s="28"/>
      <c r="O66" s="10" t="s">
        <v>128</v>
      </c>
    </row>
    <row r="67" spans="1:15" ht="15" customHeight="1" x14ac:dyDescent="0.2">
      <c r="A67" s="15" t="s">
        <v>129</v>
      </c>
      <c r="B67" s="20">
        <f t="shared" ref="B67:M67" si="28">IF(B31&gt;0,(B37-B45)/B31,0)</f>
        <v>0</v>
      </c>
      <c r="C67" s="20">
        <f t="shared" si="28"/>
        <v>-3.6860000000000013</v>
      </c>
      <c r="D67" s="20">
        <f t="shared" si="28"/>
        <v>0.39733333333333221</v>
      </c>
      <c r="E67" s="20">
        <f t="shared" si="28"/>
        <v>1.997486238532111</v>
      </c>
      <c r="F67" s="20">
        <f t="shared" si="28"/>
        <v>2.7700947429231668</v>
      </c>
      <c r="G67" s="20">
        <f t="shared" si="28"/>
        <v>3.3248096485398171</v>
      </c>
      <c r="H67" s="20">
        <f t="shared" si="28"/>
        <v>3.7808251745123842</v>
      </c>
      <c r="I67" s="20">
        <f t="shared" si="28"/>
        <v>4.1721577049854703</v>
      </c>
      <c r="J67" s="20">
        <f t="shared" si="28"/>
        <v>4.5448013442388149</v>
      </c>
      <c r="K67" s="20">
        <f t="shared" si="28"/>
        <v>4.819554464446731</v>
      </c>
      <c r="L67" s="20">
        <f t="shared" si="28"/>
        <v>5.0317999765197925</v>
      </c>
      <c r="M67" s="20">
        <f t="shared" si="28"/>
        <v>5.1846815083747382</v>
      </c>
      <c r="N67" s="29"/>
      <c r="O67" s="10" t="s">
        <v>130</v>
      </c>
    </row>
    <row r="68" spans="1:15" ht="15" customHeight="1" x14ac:dyDescent="0.2">
      <c r="A68" s="11" t="s">
        <v>131</v>
      </c>
      <c r="B68" s="23">
        <f t="shared" ref="B68:M68" si="29">IF(B65&lt;&gt;0,B67/B65,0)</f>
        <v>0</v>
      </c>
      <c r="C68" s="23">
        <f t="shared" si="29"/>
        <v>-0.40955555555555567</v>
      </c>
      <c r="D68" s="23">
        <f t="shared" si="29"/>
        <v>4.414814814814802E-2</v>
      </c>
      <c r="E68" s="23">
        <f t="shared" si="29"/>
        <v>0.22194291539245678</v>
      </c>
      <c r="F68" s="23">
        <f t="shared" si="29"/>
        <v>0.30778830476924074</v>
      </c>
      <c r="G68" s="23">
        <f t="shared" si="29"/>
        <v>0.36942329428220189</v>
      </c>
      <c r="H68" s="23">
        <f t="shared" si="29"/>
        <v>0.42009168605693159</v>
      </c>
      <c r="I68" s="23">
        <f t="shared" si="29"/>
        <v>0.4635730783317189</v>
      </c>
      <c r="J68" s="23">
        <f t="shared" si="29"/>
        <v>0.50497792713764611</v>
      </c>
      <c r="K68" s="23">
        <f t="shared" si="29"/>
        <v>0.53550605160519238</v>
      </c>
      <c r="L68" s="23">
        <f t="shared" si="29"/>
        <v>0.55908888627997699</v>
      </c>
      <c r="M68" s="23">
        <f t="shared" si="29"/>
        <v>0.57607572315274869</v>
      </c>
      <c r="N68" s="23"/>
      <c r="O68" s="10" t="s">
        <v>132</v>
      </c>
    </row>
  </sheetData>
  <mergeCells count="29">
    <mergeCell ref="A1:O1"/>
    <mergeCell ref="D22:O22"/>
    <mergeCell ref="D21:O21"/>
    <mergeCell ref="D6:O6"/>
    <mergeCell ref="A2:O2"/>
    <mergeCell ref="D18:O18"/>
    <mergeCell ref="D9:O9"/>
    <mergeCell ref="A4:O4"/>
    <mergeCell ref="D12:O12"/>
    <mergeCell ref="D8:O8"/>
    <mergeCell ref="D15:O15"/>
    <mergeCell ref="D5:O5"/>
    <mergeCell ref="D14:O14"/>
    <mergeCell ref="D10:O10"/>
    <mergeCell ref="A64:N64"/>
    <mergeCell ref="A59:N59"/>
    <mergeCell ref="A51:N51"/>
    <mergeCell ref="D17:O17"/>
    <mergeCell ref="D7:O7"/>
    <mergeCell ref="D16:O16"/>
    <mergeCell ref="A27:N27"/>
    <mergeCell ref="A47:N47"/>
    <mergeCell ref="D20:O20"/>
    <mergeCell ref="D19:O19"/>
    <mergeCell ref="A25:O25"/>
    <mergeCell ref="A39:N39"/>
    <mergeCell ref="A34:N34"/>
    <mergeCell ref="D11:O11"/>
    <mergeCell ref="D13:O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 1 Financial Model</vt:lpstr>
      <vt:lpstr>Pessimistic</vt:lpstr>
      <vt:lpstr>Optimistic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Jane Dias</cp:lastModifiedBy>
  <dcterms:created xsi:type="dcterms:W3CDTF">2026-06-23T11:59:03Z</dcterms:created>
  <dcterms:modified xsi:type="dcterms:W3CDTF">2026-06-24T01:24:02Z</dcterms:modified>
</cp:coreProperties>
</file>